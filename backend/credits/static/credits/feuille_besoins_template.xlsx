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REF_Listes" sheetId="1" state="hidden" r:id="rId3"/>
    <sheet name="1_Accueil_Instructions" sheetId="2" state="visible" r:id="rId4"/>
    <sheet name="2_Identification_Projet" sheetId="3" state="visible" r:id="rId5"/>
    <sheet name="3_Parametres_Techniques" sheetId="4" state="visible" r:id="rId6"/>
    <sheet name="4_Besoins_Financiers" sheetId="5" state="visible" r:id="rId7"/>
    <sheet name="5_Synthese_Besoins" sheetId="6" state="visible" r:id="rId8"/>
    <sheet name="6_Plan_Financement" sheetId="7" state="visible" r:id="rId9"/>
    <sheet name="7_Plan_Decaissemen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<sst xmlns="http://schemas.openxmlformats.org/spreadsheetml/2006/main" count="221" uniqueCount="176">
  <si>
    <t xml:space="preserve">CHAINES_DE_VALEUR (exemple — la liste officielle provient des Données de Référence AGRICAP)</t>
  </si>
  <si>
    <t xml:space="preserve">RUBRIQUES</t>
  </si>
  <si>
    <t xml:space="preserve">PERIODES</t>
  </si>
  <si>
    <t xml:space="preserve">FINANCEMENT</t>
  </si>
  <si>
    <t xml:space="preserve">TYPE_OPERATEUR</t>
  </si>
  <si>
    <t xml:space="preserve">DEVISE</t>
  </si>
  <si>
    <t xml:space="preserve">GARANTIE</t>
  </si>
  <si>
    <t xml:space="preserve">BESOIN_PRINCIPAL</t>
  </si>
  <si>
    <t xml:space="preserve">Maïs</t>
  </si>
  <si>
    <t xml:space="preserve">Semences &amp; Intrants</t>
  </si>
  <si>
    <t xml:space="preserve">Préparation</t>
  </si>
  <si>
    <t xml:space="preserve">Crédit</t>
  </si>
  <si>
    <t xml:space="preserve">Individuel</t>
  </si>
  <si>
    <t xml:space="preserve">USD</t>
  </si>
  <si>
    <t xml:space="preserve">Épargne (nantissement)</t>
  </si>
  <si>
    <t xml:space="preserve">Crédit de campagne</t>
  </si>
  <si>
    <t xml:space="preserve">Café Arabica</t>
  </si>
  <si>
    <t xml:space="preserve">Opérations mécanisées</t>
  </si>
  <si>
    <t xml:space="preserve">Implantation</t>
  </si>
  <si>
    <t xml:space="preserve">Apport</t>
  </si>
  <si>
    <t xml:space="preserve">Coopérative</t>
  </si>
  <si>
    <t xml:space="preserve">CDF</t>
  </si>
  <si>
    <t xml:space="preserve">Morale / Solidaire (caution du groupe)</t>
  </si>
  <si>
    <t xml:space="preserve">Crédit d'équipement</t>
  </si>
  <si>
    <t xml:space="preserve">Café Robusta</t>
  </si>
  <si>
    <t xml:space="preserve">Main d'œuvre</t>
  </si>
  <si>
    <t xml:space="preserve">Croissance</t>
  </si>
  <si>
    <t xml:space="preserve">Crédit / Apport</t>
  </si>
  <si>
    <t xml:space="preserve">PME agricole</t>
  </si>
  <si>
    <t xml:space="preserve">Crédit post-récolte</t>
  </si>
  <si>
    <t xml:space="preserve">Manioc</t>
  </si>
  <si>
    <t xml:space="preserve">Équipement &amp; petit matériel</t>
  </si>
  <si>
    <t xml:space="preserve">Entretien</t>
  </si>
  <si>
    <t xml:space="preserve">Association / Groupement</t>
  </si>
  <si>
    <t xml:space="preserve">Crédit de transformation</t>
  </si>
  <si>
    <t xml:space="preserve">Riz</t>
  </si>
  <si>
    <t xml:space="preserve">Récolte &amp; post-récolte</t>
  </si>
  <si>
    <t xml:space="preserve">Récolte</t>
  </si>
  <si>
    <t xml:space="preserve">Crédit de commercialisation</t>
  </si>
  <si>
    <t xml:space="preserve">Haricot</t>
  </si>
  <si>
    <t xml:space="preserve">Logistique</t>
  </si>
  <si>
    <t xml:space="preserve">Post récolte</t>
  </si>
  <si>
    <t xml:space="preserve">Arachide</t>
  </si>
  <si>
    <t xml:space="preserve">Commercialisation</t>
  </si>
  <si>
    <t xml:space="preserve">Soja</t>
  </si>
  <si>
    <t xml:space="preserve">Réserve d'exploitation</t>
  </si>
  <si>
    <t xml:space="preserve">Tout le cycle</t>
  </si>
  <si>
    <t xml:space="preserve">Palmier à huile</t>
  </si>
  <si>
    <t xml:space="preserve">Banane plantain</t>
  </si>
  <si>
    <t xml:space="preserve">Maraîchage</t>
  </si>
  <si>
    <t xml:space="preserve">AGRICAP — FEUILLE DE BESOINS (Système de besoins, feuilles 2 à 7)</t>
  </si>
  <si>
    <t xml:space="preserve">Objet</t>
  </si>
  <si>
    <t xml:space="preserve">Ce classeur est l'annexe officielle à joindre à toute demande de crédit de campagne AGRICAP. Il détaille vos besoins financiers sur le cycle de production.</t>
  </si>
  <si>
    <t xml:space="preserve">Comment remplir</t>
  </si>
  <si>
    <t xml:space="preserve">Saisissez uniquement les CELLULES JAUNES. Les cellules vertes se calculent automatiquement — ne les modifiez pas. Utilisez les listes déroulantes proposées.</t>
  </si>
  <si>
    <t xml:space="preserve">Feuilles à remplir</t>
  </si>
  <si>
    <t xml:space="preserve">2_Identification_Projet • 3_Parametres_Techniques • 4_Besoins_Financiers (le cœur du dossier)</t>
  </si>
  <si>
    <t xml:space="preserve">Feuilles automatiques</t>
  </si>
  <si>
    <t xml:space="preserve">5_Synthese_Besoins • 6_Plan_Financement • 7_Plan_Decaissement (calculées à partir de vos saisies)</t>
  </si>
  <si>
    <t xml:space="preserve">Exemples</t>
  </si>
  <si>
    <t xml:space="preserve">La feuille 4 contient 3 lignes d'exemple (maïs) : remplacez-les par vos propres besoins et ajoutez autant de lignes que nécessaire (jusqu'à la ligne 35).</t>
  </si>
  <si>
    <t xml:space="preserve">Chaîne de valeur</t>
  </si>
  <si>
    <t xml:space="preserve">La liste des chaînes de valeur de ce modèle est un exemple. La liste officielle est fournie par AGRICAP (Données de Référence) et peut évoluer.</t>
  </si>
  <si>
    <t xml:space="preserve">Important</t>
  </si>
  <si>
    <t xml:space="preserve">Les montants totaux sont recalculés automatiquement par le système AGRICAP lors du dépôt : toute incohérence entre vos totaux et le recalcul sera signalée.</t>
  </si>
  <si>
    <t xml:space="preserve">Légende :</t>
  </si>
  <si>
    <t xml:space="preserve">Cellule à remplir</t>
  </si>
  <si>
    <t xml:space="preserve">Cellule calculée (ne pas modifier)</t>
  </si>
  <si>
    <t xml:space="preserve">2. Identification du projet / demandeur</t>
  </si>
  <si>
    <t xml:space="preserve">Rubrique</t>
  </si>
  <si>
    <t xml:space="preserve">Valeur</t>
  </si>
  <si>
    <t xml:space="preserve">Commentaires</t>
  </si>
  <si>
    <t xml:space="preserve">Nom du demandeur / Coopérative</t>
  </si>
  <si>
    <t xml:space="preserve">Coopérative Meka</t>
  </si>
  <si>
    <t xml:space="preserve">Pré-rempli automatiquement par le système AGRICAP</t>
  </si>
  <si>
    <t xml:space="preserve">Type d'opérateur agricole</t>
  </si>
  <si>
    <t xml:space="preserve">Liste déroulante</t>
  </si>
  <si>
    <t xml:space="preserve">Profils chaîne de valeur</t>
  </si>
  <si>
    <t xml:space="preserve">Producteur végétal; Agrégateur</t>
  </si>
  <si>
    <t xml:space="preserve">Sélection multiple, séparer par des points-virgules</t>
  </si>
  <si>
    <t xml:space="preserve">Chaîne de valeur principale</t>
  </si>
  <si>
    <t xml:space="preserve">Liste déroulante — liste officielle : Données de Référence AGRICAP</t>
  </si>
  <si>
    <t xml:space="preserve">Production principale</t>
  </si>
  <si>
    <t xml:space="preserve">Maïs grain</t>
  </si>
  <si>
    <t xml:space="preserve">Superficie exploitée (ha)</t>
  </si>
  <si>
    <t xml:space="preserve">Zone d'activité</t>
  </si>
  <si>
    <t xml:space="preserve">Maluku</t>
  </si>
  <si>
    <t xml:space="preserve">Pré-rempli depuis votre profil</t>
  </si>
  <si>
    <t xml:space="preserve">Années d'expérience</t>
  </si>
  <si>
    <t xml:space="preserve">Besoin principal</t>
  </si>
  <si>
    <t xml:space="preserve">Garantie envisagée</t>
  </si>
  <si>
    <t xml:space="preserve">Liste déroulante : Épargne ou Morale</t>
  </si>
  <si>
    <t xml:space="preserve">Apport propre</t>
  </si>
  <si>
    <t xml:space="preserve">Montant que vous financez vous-même</t>
  </si>
  <si>
    <t xml:space="preserve">Devise principale</t>
  </si>
  <si>
    <t xml:space="preserve">3. Paramètres techniques du cycle de production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</si>
  <si>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</si>
  <si>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</si>
  <si>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</si>
  <si>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</si>
  <si>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</si>
  <si>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</si>
  <si>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</si>
  <si>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</si>
  <si>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</si>
  <si>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</si>
  <si>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 du sol et approvisionnement</t>
  </si>
  <si>
    <t xml:space="preserve">Semis et installation</t>
  </si>
  <si>
    <t xml:space="preserve">Entretien cultural</t>
  </si>
  <si>
    <t xml:space="preserve">Post-récolte</t>
  </si>
  <si>
    <t xml:space="preserve">Séchage, tri, stockage</t>
  </si>
  <si>
    <t xml:space="preserve">Vente et livraison</t>
  </si>
  <si>
    <t xml:space="preserve">tonnes</t>
  </si>
  <si>
    <t xml:space="preserve">USD/tonne</t>
  </si>
  <si>
    <t xml:space="preserve">Exemple : remplacez par vos prévisions</t>
  </si>
  <si>
    <t xml:space="preserve">4. Besoins financiers détaillés du cycle — ANNEXE DEMANDEUR</t>
  </si>
  <si>
    <t xml:space="preserve">Saisir uniquement les cellules jaunes ; la colonne « Montant total » se calcule automatiquement (Quantité × Coût unitaire × Fréquence). Utiliser les listes déroulantes (Rubrique, Période, Financement). Les 3 premières lignes sont des EXEMPLES à remplacer.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</si>
  <si>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</si>
  <si>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</si>
  <si>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</si>
  <si>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</si>
  <si>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</si>
  <si>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</si>
  <si>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</si>
  <si>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</si>
  <si>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 (réservé)</t>
  </si>
  <si>
    <t xml:space="preserve">Semences améliorées</t>
  </si>
  <si>
    <t xml:space="preserve">kg</t>
  </si>
  <si>
    <t xml:space="preserve">Exemple</t>
  </si>
  <si>
    <t xml:space="preserve">Labour mécanisé</t>
  </si>
  <si>
    <t xml:space="preserve">ha</t>
  </si>
  <si>
    <t xml:space="preserve">Désherbage</t>
  </si>
  <si>
    <t xml:space="preserve">j/h</t>
  </si>
  <si>
    <t xml:space="preserve">TOTAL BESOINS DU CYCLE</t>
  </si>
  <si>
    <t xml:space="preserve">5. Synthèse des besoins financiers</t>
  </si>
  <si>
    <t xml:space="preserve">Feuille calculée automatiquement — ne rien saisir.</t>
  </si>
  <si>
    <t xml:space="preserve">Total rubrique</t>
  </si>
  <si>
    <t xml:space="preserve">Part du total</t>
  </si>
  <si>
    <t xml:space="preserve">Commentaire</t>
  </si>
  <si>
    <t xml:space="preserve">TOTAL GÉNÉRAL</t>
  </si>
  <si>
    <t xml:space="preserve">6. Plan de financement</t>
  </si>
  <si>
    <t xml:space="preserve">Feuille calculée automatiquement à partir des feuilles 2, 4 et 5. Seule la ligne « Autres concours » est saisissable.</t>
  </si>
  <si>
    <t xml:space="preserve">Montant</t>
  </si>
  <si>
    <t xml:space="preserve">% du total</t>
  </si>
  <si>
    <t xml:space="preserve">Total besoins du cycle</t>
  </si>
  <si>
    <t xml:space="preserve">Repris de la feuille 2 (Identification)</t>
  </si>
  <si>
    <t xml:space="preserve">Autres concours (subvention / partenaire)</t>
  </si>
  <si>
    <t xml:space="preserve">CRÉDIT RECOMMANDÉ</t>
  </si>
  <si>
    <t xml:space="preserve">Montant à financer par AGRICAP</t>
  </si>
  <si>
    <t xml:space="preserve">Mémo : besoins fléchés « Crédit » (feuille 4, col. J)</t>
  </si>
  <si>
    <t xml:space="preserve">Indicatif — à comparer au crédit recommandé</t>
  </si>
  <si>
    <t xml:space="preserve">7. Plan de décaissement du crédit (par tranches)</t>
  </si>
  <si>
    <t xml:space="preserve">Feuille calculée automatiquement à partir des périodes de la feuille 4. Les tranches suivent le cycle : (1) préparation, (2) implantation &amp; entretien, (3) récolte &amp; commercialisation.</t>
  </si>
  <si>
    <t xml:space="preserve">Tranche</t>
  </si>
  <si>
    <t xml:space="preserve">Objet du décaissement</t>
  </si>
  <si>
    <t xml:space="preserve">Rubriques concernées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</si>
  <si>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</si>
  <si>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</si>
  <si>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</si>
  <si>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</si>
  <si>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</si>
  <si>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Semences &amp; intrants / opérations mécanisées</t>
  </si>
  <si>
    <t xml:space="preserve">Mois 1</t>
  </si>
  <si>
    <t xml:space="preserve">Wallet / fournisseur agréé</t>
  </si>
  <si>
    <t xml:space="preserve">Validation du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</si>
  <si>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</si>
  <si>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</si>
  <si>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</si>
  <si>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</si>
  <si>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Tranche 1 décaissée + suivi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</si>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</sst>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E43"/>
        <bgColor rgb="FF2E8B57"/>
      </patternFill>
    </fill>
    <fill>
      <patternFill patternType="solid">
        <fgColor rgb="FFFFFF00"/>
        <bgColor rgb="FFFFFF00"/>
      </patternFill>
    </fill>
    <fill>
      <patternFill patternType="solid">
        <fgColor rgb="FFE7F4EC"/>
        <bgColor rgb="FFF2F2F2"/>
      </patternFill>
    </fill>
    <fill>
      <patternFill patternType="solid">
        <fgColor rgb="FF2E8B57"/>
        <bgColor rgb="FF1F6E43"/>
      </patternFill>
    </fill>
    <fill>
      <patternFill patternType="solid">
        <fgColor rgb="FFF2F2F2"/>
        <bgColor rgb="FFE7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FBFBF"/>
      <rgbColor rgb="FF777777"/>
      <rgbColor rgb="FF9999FF"/>
      <rgbColor rgb="FF993366"/>
      <rgbColor rgb="FFF2F2F2"/>
      <rgbColor rgb="FFE7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H4" s="2" t="s">
        <v>29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E5" s="2" t="s">
        <v>33</v>
      </c>
      <c r="H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H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43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</row>
    <row r="10" customFormat="false" ht="15" hidden="false" customHeight="false" outlineLevel="0" collapsed="false">
      <c r="A10" s="2" t="s">
        <v>47</v>
      </c>
    </row>
    <row r="11" customFormat="false" ht="15" hidden="false" customHeight="false" outlineLevel="0" collapsed="false">
      <c r="A11" s="2" t="s">
        <v>48</v>
      </c>
    </row>
    <row r="12" customFormat="false" ht="15" hidden="false" customHeight="false" outlineLevel="0" collapsed="false">
      <c r="A12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24"/>
  </cols>
  <sheetData>
    <row r="1" customFormat="false" ht="25.5" hidden="false" customHeight="true" outlineLevel="0" collapsed="false">
      <c r="A1" s="3" t="s">
        <v>50</v>
      </c>
      <c r="B1" s="3"/>
      <c r="C1" s="3"/>
      <c r="D1" s="3"/>
      <c r="E1" s="3"/>
      <c r="F1" s="3"/>
    </row>
    <row r="3" customFormat="false" ht="30" hidden="false" customHeight="true" outlineLevel="0" collapsed="false">
      <c r="A3" s="4" t="s">
        <v>51</v>
      </c>
      <c r="B3" s="5" t="s">
        <v>52</v>
      </c>
      <c r="C3" s="5"/>
      <c r="D3" s="5"/>
      <c r="E3" s="5"/>
      <c r="F3" s="5"/>
    </row>
    <row r="4" customFormat="false" ht="30" hidden="false" customHeight="true" outlineLevel="0" collapsed="false">
      <c r="A4" s="4" t="s">
        <v>53</v>
      </c>
      <c r="B4" s="5" t="s">
        <v>54</v>
      </c>
      <c r="C4" s="5"/>
      <c r="D4" s="5"/>
      <c r="E4" s="5"/>
      <c r="F4" s="5"/>
    </row>
    <row r="5" customFormat="false" ht="30" hidden="false" customHeight="true" outlineLevel="0" collapsed="false">
      <c r="A5" s="4" t="s">
        <v>55</v>
      </c>
      <c r="B5" s="5" t="s">
        <v>56</v>
      </c>
      <c r="C5" s="5"/>
      <c r="D5" s="5"/>
      <c r="E5" s="5"/>
      <c r="F5" s="5"/>
    </row>
    <row r="6" customFormat="false" ht="30" hidden="false" customHeight="true" outlineLevel="0" collapsed="false">
      <c r="A6" s="4" t="s">
        <v>57</v>
      </c>
      <c r="B6" s="5" t="s">
        <v>58</v>
      </c>
      <c r="C6" s="5"/>
      <c r="D6" s="5"/>
      <c r="E6" s="5"/>
      <c r="F6" s="5"/>
    </row>
    <row r="7" customFormat="false" ht="30" hidden="false" customHeight="true" outlineLevel="0" collapsed="false">
      <c r="A7" s="4" t="s">
        <v>59</v>
      </c>
      <c r="B7" s="5" t="s">
        <v>60</v>
      </c>
      <c r="C7" s="5"/>
      <c r="D7" s="5"/>
      <c r="E7" s="5"/>
      <c r="F7" s="5"/>
    </row>
    <row r="8" customFormat="false" ht="30" hidden="false" customHeight="true" outlineLevel="0" collapsed="false">
      <c r="A8" s="4" t="s">
        <v>61</v>
      </c>
      <c r="B8" s="5" t="s">
        <v>62</v>
      </c>
      <c r="C8" s="5"/>
      <c r="D8" s="5"/>
      <c r="E8" s="5"/>
      <c r="F8" s="5"/>
    </row>
    <row r="9" customFormat="false" ht="30" hidden="false" customHeight="true" outlineLevel="0" collapsed="false">
      <c r="A9" s="4" t="s">
        <v>63</v>
      </c>
      <c r="B9" s="5" t="s">
        <v>64</v>
      </c>
      <c r="C9" s="5"/>
      <c r="D9" s="5"/>
      <c r="E9" s="5"/>
      <c r="F9" s="5"/>
    </row>
    <row r="11" customFormat="false" ht="15" hidden="false" customHeight="false" outlineLevel="0" collapsed="false">
      <c r="A11" s="4" t="s">
        <v>65</v>
      </c>
    </row>
    <row r="12" customFormat="false" ht="15" hidden="false" customHeight="false" outlineLevel="0" collapsed="false">
      <c r="A12" s="6" t="s">
        <v>66</v>
      </c>
      <c r="B12" s="7" t="s">
        <v>67</v>
      </c>
    </row>
  </sheetData>
  <mergeCells count="8">
    <mergeCell ref="A1:F1"/>
    <mergeCell ref="B3:F3"/>
    <mergeCell ref="B4:F4"/>
    <mergeCell ref="B5:F5"/>
    <mergeCell ref="B6:F6"/>
    <mergeCell ref="B7:F7"/>
    <mergeCell ref="B8:F8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48"/>
  </cols>
  <sheetData>
    <row r="1" customFormat="false" ht="25.5" hidden="false" customHeight="true" outlineLevel="0" collapsed="false">
      <c r="A1" s="3" t="s">
        <v>68</v>
      </c>
      <c r="B1" s="3"/>
      <c r="C1" s="3"/>
      <c r="D1" s="3"/>
    </row>
    <row r="2" customFormat="false" ht="15" hidden="false" customHeight="false" outlineLevel="0" collapsed="false">
      <c r="A2" s="8" t="s">
        <v>69</v>
      </c>
      <c r="B2" s="8" t="s">
        <v>70</v>
      </c>
      <c r="C2" s="8" t="s">
        <v>71</v>
      </c>
      <c r="D2" s="8"/>
    </row>
    <row r="3" customFormat="false" ht="15" hidden="false" customHeight="false" outlineLevel="0" collapsed="false">
      <c r="A3" s="9" t="s">
        <v>72</v>
      </c>
      <c r="B3" s="6" t="s">
        <v>73</v>
      </c>
      <c r="C3" s="10" t="s">
        <v>74</v>
      </c>
    </row>
    <row r="4" customFormat="false" ht="15" hidden="false" customHeight="false" outlineLevel="0" collapsed="false">
      <c r="A4" s="9" t="s">
        <v>75</v>
      </c>
      <c r="B4" s="6" t="s">
        <v>20</v>
      </c>
      <c r="C4" s="10" t="s">
        <v>76</v>
      </c>
    </row>
    <row r="5" customFormat="false" ht="15" hidden="false" customHeight="false" outlineLevel="0" collapsed="false">
      <c r="A5" s="9" t="s">
        <v>77</v>
      </c>
      <c r="B5" s="6" t="s">
        <v>78</v>
      </c>
      <c r="C5" s="10" t="s">
        <v>79</v>
      </c>
    </row>
    <row r="6" customFormat="false" ht="15" hidden="false" customHeight="false" outlineLevel="0" collapsed="false">
      <c r="A6" s="9" t="s">
        <v>80</v>
      </c>
      <c r="B6" s="6" t="s">
        <v>8</v>
      </c>
      <c r="C6" s="10" t="s">
        <v>81</v>
      </c>
    </row>
    <row r="7" customFormat="false" ht="15" hidden="false" customHeight="false" outlineLevel="0" collapsed="false">
      <c r="A7" s="9" t="s">
        <v>82</v>
      </c>
      <c r="B7" s="6" t="s">
        <v>83</v>
      </c>
      <c r="C7" s="10"/>
    </row>
    <row r="8" customFormat="false" ht="15" hidden="false" customHeight="false" outlineLevel="0" collapsed="false">
      <c r="A8" s="9" t="s">
        <v>84</v>
      </c>
      <c r="B8" s="6" t="n">
        <v>25</v>
      </c>
      <c r="C8" s="10"/>
    </row>
    <row r="9" customFormat="false" ht="15" hidden="false" customHeight="false" outlineLevel="0" collapsed="false">
      <c r="A9" s="9" t="s">
        <v>85</v>
      </c>
      <c r="B9" s="6" t="s">
        <v>86</v>
      </c>
      <c r="C9" s="10" t="s">
        <v>87</v>
      </c>
    </row>
    <row r="10" customFormat="false" ht="15" hidden="false" customHeight="false" outlineLevel="0" collapsed="false">
      <c r="A10" s="9" t="s">
        <v>88</v>
      </c>
      <c r="B10" s="6" t="n">
        <v>5</v>
      </c>
      <c r="C10" s="10"/>
    </row>
    <row r="11" customFormat="false" ht="15" hidden="false" customHeight="false" outlineLevel="0" collapsed="false">
      <c r="A11" s="9" t="s">
        <v>89</v>
      </c>
      <c r="B11" s="6" t="s">
        <v>15</v>
      </c>
      <c r="C11" s="10" t="s">
        <v>76</v>
      </c>
    </row>
    <row r="12" customFormat="false" ht="15" hidden="false" customHeight="false" outlineLevel="0" collapsed="false">
      <c r="A12" s="9" t="s">
        <v>90</v>
      </c>
      <c r="B12" s="6" t="s">
        <v>14</v>
      </c>
      <c r="C12" s="10" t="s">
        <v>91</v>
      </c>
    </row>
    <row r="13" customFormat="false" ht="15" hidden="false" customHeight="false" outlineLevel="0" collapsed="false">
      <c r="A13" s="9" t="s">
        <v>92</v>
      </c>
      <c r="B13" s="6" t="n">
        <v>1000</v>
      </c>
      <c r="C13" s="10" t="s">
        <v>93</v>
      </c>
    </row>
    <row r="14" customFormat="false" ht="15" hidden="false" customHeight="false" outlineLevel="0" collapsed="false">
      <c r="A14" s="9" t="s">
        <v>94</v>
      </c>
      <c r="B14" s="6" t="s">
        <v>13</v>
      </c>
      <c r="C14" s="10" t="s">
        <v>76</v>
      </c>
    </row>
  </sheetData>
  <mergeCells count="1">
    <mergeCell ref="A1:D1"/>
  </mergeCells>
  <dataValidations count="5">
    <dataValidation allowBlank="true" errorStyle="stop" operator="between" showDropDown="false" showErrorMessage="false" showInputMessage="false" sqref="B4" type="list">
      <formula1>REF_Listes!$E$2:$E$5</formula1>
      <formula2>0</formula2>
    </dataValidation>
    <dataValidation allowBlank="true" errorStyle="stop" operator="between" showDropDown="false" showErrorMessage="false" showInputMessage="false" sqref="B6" type="list">
      <formula1>REF_Listes!$A$2:$A$12</formula1>
      <formula2>0</formula2>
    </dataValidation>
    <dataValidation allowBlank="true" errorStyle="stop" operator="between" showDropDown="false" showErrorMessage="false" showInputMessage="false" sqref="B11" type="list">
      <formula1>REF_Listes!$H$2:$H$6</formula1>
      <formula2>0</formula2>
    </dataValidation>
    <dataValidation allowBlank="true" errorStyle="stop" operator="between" showDropDown="false" showErrorMessage="false" showInputMessage="false" sqref="B12" type="list">
      <formula1>REF_Listes!$G$2:$G$3</formula1>
      <formula2>0</formula2>
    </dataValidation>
    <dataValidation allowBlank="true" errorStyle="stop" operator="between" showDropDown="false" showErrorMessage="false" showInputMessage="false" sqref="B14" type="list">
      <formula1>REF_Listes!$F$2:$F$3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2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3" t="s">
        <v>95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3.85" hidden="false" customHeight="false" outlineLevel="0" collapsed="false">
      <c r="A2" s="8" t="s">
        <v>96</v>
      </c>
      <c r="B2" s="8" t="s">
        <v>97</v>
      </c>
      <c r="C2" s="8" t="s">
        <v>98</v>
      </c>
      <c r="D2" s="8" t="s">
        <v>99</v>
      </c>
      <c r="E2" s="8" t="s">
        <v>100</v>
      </c>
      <c r="F2" s="8" t="s">
        <v>101</v>
      </c>
      <c r="G2" s="8" t="s">
        <v>102</v>
      </c>
      <c r="H2" s="8" t="s">
        <v>103</v>
      </c>
      <c r="I2" s="8" t="s">
        <v>104</v>
      </c>
      <c r="J2" s="8" t="s">
        <v>105</v>
      </c>
    </row>
    <row r="3" customFormat="false" ht="15" hidden="false" customHeight="false" outlineLevel="0" collapsed="false">
      <c r="A3" s="9" t="s">
        <v>10</v>
      </c>
      <c r="B3" s="6" t="n">
        <v>1</v>
      </c>
      <c r="C3" s="6" t="n">
        <v>1</v>
      </c>
      <c r="D3" s="11" t="n">
        <f aca="false">C3-B3+1</f>
        <v>1</v>
      </c>
      <c r="E3" s="6" t="s">
        <v>106</v>
      </c>
      <c r="F3" s="6"/>
      <c r="G3" s="6"/>
      <c r="H3" s="6"/>
      <c r="I3" s="6"/>
      <c r="J3" s="6"/>
    </row>
    <row r="4" customFormat="false" ht="15" hidden="false" customHeight="false" outlineLevel="0" collapsed="false">
      <c r="A4" s="9" t="s">
        <v>18</v>
      </c>
      <c r="B4" s="6" t="n">
        <v>1</v>
      </c>
      <c r="C4" s="6" t="n">
        <v>2</v>
      </c>
      <c r="D4" s="11" t="n">
        <f aca="false">C4-B4+1</f>
        <v>2</v>
      </c>
      <c r="E4" s="6" t="s">
        <v>107</v>
      </c>
      <c r="F4" s="6"/>
      <c r="G4" s="6"/>
      <c r="H4" s="6"/>
      <c r="I4" s="6"/>
      <c r="J4" s="6"/>
    </row>
    <row r="5" customFormat="false" ht="15" hidden="false" customHeight="false" outlineLevel="0" collapsed="false">
      <c r="A5" s="9" t="s">
        <v>26</v>
      </c>
      <c r="B5" s="6" t="n">
        <v>2</v>
      </c>
      <c r="C5" s="6" t="n">
        <v>4</v>
      </c>
      <c r="D5" s="11" t="n">
        <f aca="false">C5-B5+1</f>
        <v>3</v>
      </c>
      <c r="E5" s="6" t="s">
        <v>108</v>
      </c>
      <c r="F5" s="6"/>
      <c r="G5" s="6"/>
      <c r="H5" s="6"/>
      <c r="I5" s="6"/>
      <c r="J5" s="6"/>
    </row>
    <row r="6" customFormat="false" ht="15" hidden="false" customHeight="false" outlineLevel="0" collapsed="false">
      <c r="A6" s="9" t="s">
        <v>37</v>
      </c>
      <c r="B6" s="6" t="n">
        <v>5</v>
      </c>
      <c r="C6" s="6" t="n">
        <v>5</v>
      </c>
      <c r="D6" s="11" t="n">
        <f aca="false">C6-B6+1</f>
        <v>1</v>
      </c>
      <c r="E6" s="6" t="s">
        <v>37</v>
      </c>
      <c r="F6" s="6"/>
      <c r="G6" s="6"/>
      <c r="H6" s="6"/>
      <c r="I6" s="6"/>
      <c r="J6" s="6"/>
    </row>
    <row r="7" customFormat="false" ht="15" hidden="false" customHeight="false" outlineLevel="0" collapsed="false">
      <c r="A7" s="9" t="s">
        <v>109</v>
      </c>
      <c r="B7" s="6" t="n">
        <v>5</v>
      </c>
      <c r="C7" s="6" t="n">
        <v>6</v>
      </c>
      <c r="D7" s="11" t="n">
        <f aca="false">C7-B7+1</f>
        <v>2</v>
      </c>
      <c r="E7" s="6" t="s">
        <v>110</v>
      </c>
      <c r="F7" s="6"/>
      <c r="G7" s="6"/>
      <c r="H7" s="6"/>
      <c r="I7" s="6"/>
      <c r="J7" s="6"/>
    </row>
    <row r="8" customFormat="false" ht="15" hidden="false" customHeight="false" outlineLevel="0" collapsed="false">
      <c r="A8" s="9" t="s">
        <v>43</v>
      </c>
      <c r="B8" s="6" t="n">
        <v>6</v>
      </c>
      <c r="C8" s="6" t="n">
        <v>6</v>
      </c>
      <c r="D8" s="11" t="n">
        <f aca="false">C8-B8+1</f>
        <v>1</v>
      </c>
      <c r="E8" s="6" t="s">
        <v>111</v>
      </c>
      <c r="F8" s="6" t="n">
        <v>50</v>
      </c>
      <c r="G8" s="6" t="s">
        <v>112</v>
      </c>
      <c r="H8" s="6" t="n">
        <v>500</v>
      </c>
      <c r="I8" s="6" t="s">
        <v>113</v>
      </c>
      <c r="J8" s="6" t="s">
        <v>114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25.5" hidden="false" customHeight="true" outlineLevel="0" collapsed="false">
      <c r="A1" s="3" t="s">
        <v>115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30" hidden="false" customHeight="true" outlineLevel="0" collapsed="false">
      <c r="A2" s="12" t="s">
        <v>116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customFormat="false" ht="23.85" hidden="false" customHeight="false" outlineLevel="0" collapsed="false">
      <c r="A4" s="8" t="s">
        <v>117</v>
      </c>
      <c r="B4" s="8" t="s">
        <v>69</v>
      </c>
      <c r="C4" s="8" t="s">
        <v>118</v>
      </c>
      <c r="D4" s="8" t="s">
        <v>102</v>
      </c>
      <c r="E4" s="8" t="s">
        <v>119</v>
      </c>
      <c r="F4" s="8" t="s">
        <v>120</v>
      </c>
      <c r="G4" s="8" t="s">
        <v>121</v>
      </c>
      <c r="H4" s="8" t="s">
        <v>122</v>
      </c>
      <c r="I4" s="8" t="s">
        <v>123</v>
      </c>
      <c r="J4" s="8" t="s">
        <v>124</v>
      </c>
      <c r="K4" s="8" t="s">
        <v>105</v>
      </c>
      <c r="L4" s="8" t="s">
        <v>125</v>
      </c>
    </row>
    <row r="5" customFormat="false" ht="15" hidden="false" customHeight="false" outlineLevel="0" collapsed="false">
      <c r="A5" s="13" t="n">
        <v>1</v>
      </c>
      <c r="B5" s="6" t="s">
        <v>9</v>
      </c>
      <c r="C5" s="6" t="s">
        <v>126</v>
      </c>
      <c r="D5" s="6" t="s">
        <v>127</v>
      </c>
      <c r="E5" s="6" t="n">
        <v>50</v>
      </c>
      <c r="F5" s="6" t="n">
        <v>12</v>
      </c>
      <c r="G5" s="6" t="n">
        <v>1</v>
      </c>
      <c r="H5" s="11" t="n">
        <f aca="false">IF(COUNT(E5:G5)=3,E5*F5*G5,"")</f>
        <v>600</v>
      </c>
      <c r="I5" s="6" t="s">
        <v>10</v>
      </c>
      <c r="J5" s="6" t="s">
        <v>11</v>
      </c>
      <c r="K5" s="6" t="s">
        <v>128</v>
      </c>
      <c r="L5" s="14"/>
    </row>
    <row r="6" customFormat="false" ht="15" hidden="false" customHeight="false" outlineLevel="0" collapsed="false">
      <c r="A6" s="13" t="n">
        <v>2</v>
      </c>
      <c r="B6" s="6" t="s">
        <v>17</v>
      </c>
      <c r="C6" s="6" t="s">
        <v>129</v>
      </c>
      <c r="D6" s="6" t="s">
        <v>130</v>
      </c>
      <c r="E6" s="6" t="n">
        <v>25</v>
      </c>
      <c r="F6" s="6" t="n">
        <v>18</v>
      </c>
      <c r="G6" s="6" t="n">
        <v>1</v>
      </c>
      <c r="H6" s="11" t="n">
        <f aca="false">IF(COUNT(E6:G6)=3,E6*F6*G6,"")</f>
        <v>450</v>
      </c>
      <c r="I6" s="6" t="s">
        <v>10</v>
      </c>
      <c r="J6" s="6" t="s">
        <v>11</v>
      </c>
      <c r="K6" s="6" t="s">
        <v>128</v>
      </c>
      <c r="L6" s="14"/>
    </row>
    <row r="7" customFormat="false" ht="15" hidden="false" customHeight="false" outlineLevel="0" collapsed="false">
      <c r="A7" s="13" t="n">
        <v>3</v>
      </c>
      <c r="B7" s="6" t="s">
        <v>25</v>
      </c>
      <c r="C7" s="6" t="s">
        <v>131</v>
      </c>
      <c r="D7" s="6" t="s">
        <v>132</v>
      </c>
      <c r="E7" s="6" t="n">
        <v>20</v>
      </c>
      <c r="F7" s="6" t="n">
        <v>7</v>
      </c>
      <c r="G7" s="6" t="n">
        <v>2</v>
      </c>
      <c r="H7" s="11" t="n">
        <f aca="false">IF(COUNT(E7:G7)=3,E7*F7*G7,"")</f>
        <v>280</v>
      </c>
      <c r="I7" s="6" t="s">
        <v>32</v>
      </c>
      <c r="J7" s="6" t="s">
        <v>11</v>
      </c>
      <c r="K7" s="6" t="s">
        <v>128</v>
      </c>
      <c r="L7" s="14"/>
    </row>
    <row r="8" customFormat="false" ht="15" hidden="false" customHeight="false" outlineLevel="0" collapsed="false">
      <c r="A8" s="13" t="n">
        <v>4</v>
      </c>
      <c r="B8" s="6"/>
      <c r="C8" s="6"/>
      <c r="D8" s="6"/>
      <c r="E8" s="6"/>
      <c r="F8" s="6"/>
      <c r="G8" s="6"/>
      <c r="H8" s="11" t="str">
        <f aca="false">IF(COUNT(E8:G8)=3,E8*F8*G8,"")</f>
        <v/>
      </c>
      <c r="I8" s="6"/>
      <c r="J8" s="6"/>
      <c r="K8" s="6"/>
      <c r="L8" s="14"/>
    </row>
    <row r="9" customFormat="false" ht="15" hidden="false" customHeight="false" outlineLevel="0" collapsed="false">
      <c r="A9" s="13" t="n">
        <v>5</v>
      </c>
      <c r="B9" s="6"/>
      <c r="C9" s="6"/>
      <c r="D9" s="6"/>
      <c r="E9" s="6"/>
      <c r="F9" s="6"/>
      <c r="G9" s="6"/>
      <c r="H9" s="11" t="str">
        <f aca="false">IF(COUNT(E9:G9)=3,E9*F9*G9,"")</f>
        <v/>
      </c>
      <c r="I9" s="6"/>
      <c r="J9" s="6"/>
      <c r="K9" s="6"/>
      <c r="L9" s="14"/>
    </row>
    <row r="10" customFormat="false" ht="15" hidden="false" customHeight="false" outlineLevel="0" collapsed="false">
      <c r="A10" s="13" t="n">
        <v>6</v>
      </c>
      <c r="B10" s="6"/>
      <c r="C10" s="6"/>
      <c r="D10" s="6"/>
      <c r="E10" s="6"/>
      <c r="F10" s="6"/>
      <c r="G10" s="6"/>
      <c r="H10" s="11" t="str">
        <f aca="false">IF(COUNT(E10:G10)=3,E10*F10*G10,"")</f>
        <v/>
      </c>
      <c r="I10" s="6"/>
      <c r="J10" s="6"/>
      <c r="K10" s="6"/>
      <c r="L10" s="14"/>
    </row>
    <row r="11" customFormat="false" ht="15" hidden="false" customHeight="false" outlineLevel="0" collapsed="false">
      <c r="A11" s="13" t="n">
        <v>7</v>
      </c>
      <c r="B11" s="6"/>
      <c r="C11" s="6"/>
      <c r="D11" s="6"/>
      <c r="E11" s="6"/>
      <c r="F11" s="6"/>
      <c r="G11" s="6"/>
      <c r="H11" s="11" t="str">
        <f aca="false">IF(COUNT(E11:G11)=3,E11*F11*G11,"")</f>
        <v/>
      </c>
      <c r="I11" s="6"/>
      <c r="J11" s="6"/>
      <c r="K11" s="6"/>
      <c r="L11" s="14"/>
    </row>
    <row r="12" customFormat="false" ht="15" hidden="false" customHeight="false" outlineLevel="0" collapsed="false">
      <c r="A12" s="13" t="n">
        <v>8</v>
      </c>
      <c r="B12" s="6"/>
      <c r="C12" s="6"/>
      <c r="D12" s="6"/>
      <c r="E12" s="6"/>
      <c r="F12" s="6"/>
      <c r="G12" s="6"/>
      <c r="H12" s="11" t="str">
        <f aca="false">IF(COUNT(E12:G12)=3,E12*F12*G12,"")</f>
        <v/>
      </c>
      <c r="I12" s="6"/>
      <c r="J12" s="6"/>
      <c r="K12" s="6"/>
      <c r="L12" s="14"/>
    </row>
    <row r="13" customFormat="false" ht="15" hidden="false" customHeight="false" outlineLevel="0" collapsed="false">
      <c r="A13" s="13" t="n">
        <v>9</v>
      </c>
      <c r="B13" s="6"/>
      <c r="C13" s="6"/>
      <c r="D13" s="6"/>
      <c r="E13" s="6"/>
      <c r="F13" s="6"/>
      <c r="G13" s="6"/>
      <c r="H13" s="11" t="str">
        <f aca="false">IF(COUNT(E13:G13)=3,E13*F13*G13,"")</f>
        <v/>
      </c>
      <c r="I13" s="6"/>
      <c r="J13" s="6"/>
      <c r="K13" s="6"/>
      <c r="L13" s="14"/>
    </row>
    <row r="14" customFormat="false" ht="15" hidden="false" customHeight="false" outlineLevel="0" collapsed="false">
      <c r="A14" s="13" t="n">
        <v>10</v>
      </c>
      <c r="B14" s="6"/>
      <c r="C14" s="6"/>
      <c r="D14" s="6"/>
      <c r="E14" s="6"/>
      <c r="F14" s="6"/>
      <c r="G14" s="6"/>
      <c r="H14" s="11" t="str">
        <f aca="false">IF(COUNT(E14:G14)=3,E14*F14*G14,"")</f>
        <v/>
      </c>
      <c r="I14" s="6"/>
      <c r="J14" s="6"/>
      <c r="K14" s="6"/>
      <c r="L14" s="14"/>
    </row>
    <row r="15" customFormat="false" ht="15" hidden="false" customHeight="false" outlineLevel="0" collapsed="false">
      <c r="A15" s="13" t="n">
        <v>11</v>
      </c>
      <c r="B15" s="6"/>
      <c r="C15" s="6"/>
      <c r="D15" s="6"/>
      <c r="E15" s="6"/>
      <c r="F15" s="6"/>
      <c r="G15" s="6"/>
      <c r="H15" s="11" t="str">
        <f aca="false">IF(COUNT(E15:G15)=3,E15*F15*G15,"")</f>
        <v/>
      </c>
      <c r="I15" s="6"/>
      <c r="J15" s="6"/>
      <c r="K15" s="6"/>
      <c r="L15" s="14"/>
    </row>
    <row r="16" customFormat="false" ht="15" hidden="false" customHeight="false" outlineLevel="0" collapsed="false">
      <c r="A16" s="13" t="n">
        <v>12</v>
      </c>
      <c r="B16" s="6"/>
      <c r="C16" s="6"/>
      <c r="D16" s="6"/>
      <c r="E16" s="6"/>
      <c r="F16" s="6"/>
      <c r="G16" s="6"/>
      <c r="H16" s="11" t="str">
        <f aca="false">IF(COUNT(E16:G16)=3,E16*F16*G16,"")</f>
        <v/>
      </c>
      <c r="I16" s="6"/>
      <c r="J16" s="6"/>
      <c r="K16" s="6"/>
      <c r="L16" s="14"/>
    </row>
    <row r="17" customFormat="false" ht="15" hidden="false" customHeight="false" outlineLevel="0" collapsed="false">
      <c r="A17" s="13" t="n">
        <v>13</v>
      </c>
      <c r="B17" s="6"/>
      <c r="C17" s="6"/>
      <c r="D17" s="6"/>
      <c r="E17" s="6"/>
      <c r="F17" s="6"/>
      <c r="G17" s="6"/>
      <c r="H17" s="11" t="str">
        <f aca="false">IF(COUNT(E17:G17)=3,E17*F17*G17,"")</f>
        <v/>
      </c>
      <c r="I17" s="6"/>
      <c r="J17" s="6"/>
      <c r="K17" s="6"/>
      <c r="L17" s="14"/>
    </row>
    <row r="18" customFormat="false" ht="15" hidden="false" customHeight="false" outlineLevel="0" collapsed="false">
      <c r="A18" s="13" t="n">
        <v>14</v>
      </c>
      <c r="B18" s="6"/>
      <c r="C18" s="6"/>
      <c r="D18" s="6"/>
      <c r="E18" s="6"/>
      <c r="F18" s="6"/>
      <c r="G18" s="6"/>
      <c r="H18" s="11" t="str">
        <f aca="false">IF(COUNT(E18:G18)=3,E18*F18*G18,"")</f>
        <v/>
      </c>
      <c r="I18" s="6"/>
      <c r="J18" s="6"/>
      <c r="K18" s="6"/>
      <c r="L18" s="14"/>
    </row>
    <row r="19" customFormat="false" ht="15" hidden="false" customHeight="false" outlineLevel="0" collapsed="false">
      <c r="A19" s="13" t="n">
        <v>15</v>
      </c>
      <c r="B19" s="6"/>
      <c r="C19" s="6"/>
      <c r="D19" s="6"/>
      <c r="E19" s="6"/>
      <c r="F19" s="6"/>
      <c r="G19" s="6"/>
      <c r="H19" s="11" t="str">
        <f aca="false">IF(COUNT(E19:G19)=3,E19*F19*G19,"")</f>
        <v/>
      </c>
      <c r="I19" s="6"/>
      <c r="J19" s="6"/>
      <c r="K19" s="6"/>
      <c r="L19" s="14"/>
    </row>
    <row r="20" customFormat="false" ht="15" hidden="false" customHeight="false" outlineLevel="0" collapsed="false">
      <c r="A20" s="13" t="n">
        <v>16</v>
      </c>
      <c r="B20" s="6"/>
      <c r="C20" s="6"/>
      <c r="D20" s="6"/>
      <c r="E20" s="6"/>
      <c r="F20" s="6"/>
      <c r="G20" s="6"/>
      <c r="H20" s="11" t="str">
        <f aca="false">IF(COUNT(E20:G20)=3,E20*F20*G20,"")</f>
        <v/>
      </c>
      <c r="I20" s="6"/>
      <c r="J20" s="6"/>
      <c r="K20" s="6"/>
      <c r="L20" s="14"/>
    </row>
    <row r="21" customFormat="false" ht="15" hidden="false" customHeight="false" outlineLevel="0" collapsed="false">
      <c r="A21" s="13" t="n">
        <v>17</v>
      </c>
      <c r="B21" s="6"/>
      <c r="C21" s="6"/>
      <c r="D21" s="6"/>
      <c r="E21" s="6"/>
      <c r="F21" s="6"/>
      <c r="G21" s="6"/>
      <c r="H21" s="11" t="str">
        <f aca="false">IF(COUNT(E21:G21)=3,E21*F21*G21,"")</f>
        <v/>
      </c>
      <c r="I21" s="6"/>
      <c r="J21" s="6"/>
      <c r="K21" s="6"/>
      <c r="L21" s="14"/>
    </row>
    <row r="22" customFormat="false" ht="15" hidden="false" customHeight="false" outlineLevel="0" collapsed="false">
      <c r="A22" s="13" t="n">
        <v>18</v>
      </c>
      <c r="B22" s="6"/>
      <c r="C22" s="6"/>
      <c r="D22" s="6"/>
      <c r="E22" s="6"/>
      <c r="F22" s="6"/>
      <c r="G22" s="6"/>
      <c r="H22" s="11" t="str">
        <f aca="false">IF(COUNT(E22:G22)=3,E22*F22*G22,"")</f>
        <v/>
      </c>
      <c r="I22" s="6"/>
      <c r="J22" s="6"/>
      <c r="K22" s="6"/>
      <c r="L22" s="14"/>
    </row>
    <row r="23" customFormat="false" ht="15" hidden="false" customHeight="false" outlineLevel="0" collapsed="false">
      <c r="A23" s="13" t="n">
        <v>19</v>
      </c>
      <c r="B23" s="6"/>
      <c r="C23" s="6"/>
      <c r="D23" s="6"/>
      <c r="E23" s="6"/>
      <c r="F23" s="6"/>
      <c r="G23" s="6"/>
      <c r="H23" s="11" t="str">
        <f aca="false">IF(COUNT(E23:G23)=3,E23*F23*G23,"")</f>
        <v/>
      </c>
      <c r="I23" s="6"/>
      <c r="J23" s="6"/>
      <c r="K23" s="6"/>
      <c r="L23" s="14"/>
    </row>
    <row r="24" customFormat="false" ht="15" hidden="false" customHeight="false" outlineLevel="0" collapsed="false">
      <c r="A24" s="13" t="n">
        <v>20</v>
      </c>
      <c r="B24" s="6"/>
      <c r="C24" s="6"/>
      <c r="D24" s="6"/>
      <c r="E24" s="6"/>
      <c r="F24" s="6"/>
      <c r="G24" s="6"/>
      <c r="H24" s="11" t="str">
        <f aca="false">IF(COUNT(E24:G24)=3,E24*F24*G24,"")</f>
        <v/>
      </c>
      <c r="I24" s="6"/>
      <c r="J24" s="6"/>
      <c r="K24" s="6"/>
      <c r="L24" s="14"/>
    </row>
    <row r="25" customFormat="false" ht="15" hidden="false" customHeight="false" outlineLevel="0" collapsed="false">
      <c r="A25" s="13" t="n">
        <v>21</v>
      </c>
      <c r="B25" s="6"/>
      <c r="C25" s="6"/>
      <c r="D25" s="6"/>
      <c r="E25" s="6"/>
      <c r="F25" s="6"/>
      <c r="G25" s="6"/>
      <c r="H25" s="11" t="str">
        <f aca="false">IF(COUNT(E25:G25)=3,E25*F25*G25,"")</f>
        <v/>
      </c>
      <c r="I25" s="6"/>
      <c r="J25" s="6"/>
      <c r="K25" s="6"/>
      <c r="L25" s="14"/>
    </row>
    <row r="26" customFormat="false" ht="15" hidden="false" customHeight="false" outlineLevel="0" collapsed="false">
      <c r="A26" s="13" t="n">
        <v>22</v>
      </c>
      <c r="B26" s="6"/>
      <c r="C26" s="6"/>
      <c r="D26" s="6"/>
      <c r="E26" s="6"/>
      <c r="F26" s="6"/>
      <c r="G26" s="6"/>
      <c r="H26" s="11" t="str">
        <f aca="false">IF(COUNT(E26:G26)=3,E26*F26*G26,"")</f>
        <v/>
      </c>
      <c r="I26" s="6"/>
      <c r="J26" s="6"/>
      <c r="K26" s="6"/>
      <c r="L26" s="14"/>
    </row>
    <row r="27" customFormat="false" ht="15" hidden="false" customHeight="false" outlineLevel="0" collapsed="false">
      <c r="A27" s="13" t="n">
        <v>23</v>
      </c>
      <c r="B27" s="6"/>
      <c r="C27" s="6"/>
      <c r="D27" s="6"/>
      <c r="E27" s="6"/>
      <c r="F27" s="6"/>
      <c r="G27" s="6"/>
      <c r="H27" s="11" t="str">
        <f aca="false">IF(COUNT(E27:G27)=3,E27*F27*G27,"")</f>
        <v/>
      </c>
      <c r="I27" s="6"/>
      <c r="J27" s="6"/>
      <c r="K27" s="6"/>
      <c r="L27" s="14"/>
    </row>
    <row r="28" customFormat="false" ht="15" hidden="false" customHeight="false" outlineLevel="0" collapsed="false">
      <c r="A28" s="13" t="n">
        <v>24</v>
      </c>
      <c r="B28" s="6"/>
      <c r="C28" s="6"/>
      <c r="D28" s="6"/>
      <c r="E28" s="6"/>
      <c r="F28" s="6"/>
      <c r="G28" s="6"/>
      <c r="H28" s="11" t="str">
        <f aca="false">IF(COUNT(E28:G28)=3,E28*F28*G28,"")</f>
        <v/>
      </c>
      <c r="I28" s="6"/>
      <c r="J28" s="6"/>
      <c r="K28" s="6"/>
      <c r="L28" s="14"/>
    </row>
    <row r="29" customFormat="false" ht="15" hidden="false" customHeight="false" outlineLevel="0" collapsed="false">
      <c r="A29" s="13" t="n">
        <v>25</v>
      </c>
      <c r="B29" s="6"/>
      <c r="C29" s="6"/>
      <c r="D29" s="6"/>
      <c r="E29" s="6"/>
      <c r="F29" s="6"/>
      <c r="G29" s="6"/>
      <c r="H29" s="11" t="str">
        <f aca="false">IF(COUNT(E29:G29)=3,E29*F29*G29,"")</f>
        <v/>
      </c>
      <c r="I29" s="6"/>
      <c r="J29" s="6"/>
      <c r="K29" s="6"/>
      <c r="L29" s="14"/>
    </row>
    <row r="30" customFormat="false" ht="15" hidden="false" customHeight="false" outlineLevel="0" collapsed="false">
      <c r="A30" s="13" t="n">
        <v>26</v>
      </c>
      <c r="B30" s="6"/>
      <c r="C30" s="6"/>
      <c r="D30" s="6"/>
      <c r="E30" s="6"/>
      <c r="F30" s="6"/>
      <c r="G30" s="6"/>
      <c r="H30" s="11" t="str">
        <f aca="false">IF(COUNT(E30:G30)=3,E30*F30*G30,"")</f>
        <v/>
      </c>
      <c r="I30" s="6"/>
      <c r="J30" s="6"/>
      <c r="K30" s="6"/>
      <c r="L30" s="14"/>
    </row>
    <row r="31" customFormat="false" ht="15" hidden="false" customHeight="false" outlineLevel="0" collapsed="false">
      <c r="A31" s="13" t="n">
        <v>27</v>
      </c>
      <c r="B31" s="6"/>
      <c r="C31" s="6"/>
      <c r="D31" s="6"/>
      <c r="E31" s="6"/>
      <c r="F31" s="6"/>
      <c r="G31" s="6"/>
      <c r="H31" s="11" t="str">
        <f aca="false">IF(COUNT(E31:G31)=3,E31*F31*G31,"")</f>
        <v/>
      </c>
      <c r="I31" s="6"/>
      <c r="J31" s="6"/>
      <c r="K31" s="6"/>
      <c r="L31" s="14"/>
    </row>
    <row r="32" customFormat="false" ht="15" hidden="false" customHeight="false" outlineLevel="0" collapsed="false">
      <c r="A32" s="13" t="n">
        <v>28</v>
      </c>
      <c r="B32" s="6"/>
      <c r="C32" s="6"/>
      <c r="D32" s="6"/>
      <c r="E32" s="6"/>
      <c r="F32" s="6"/>
      <c r="G32" s="6"/>
      <c r="H32" s="11" t="str">
        <f aca="false">IF(COUNT(E32:G32)=3,E32*F32*G32,"")</f>
        <v/>
      </c>
      <c r="I32" s="6"/>
      <c r="J32" s="6"/>
      <c r="K32" s="6"/>
      <c r="L32" s="14"/>
    </row>
    <row r="33" customFormat="false" ht="15" hidden="false" customHeight="false" outlineLevel="0" collapsed="false">
      <c r="A33" s="13" t="n">
        <v>29</v>
      </c>
      <c r="B33" s="6"/>
      <c r="C33" s="6"/>
      <c r="D33" s="6"/>
      <c r="E33" s="6"/>
      <c r="F33" s="6"/>
      <c r="G33" s="6"/>
      <c r="H33" s="11" t="str">
        <f aca="false">IF(COUNT(E33:G33)=3,E33*F33*G33,"")</f>
        <v/>
      </c>
      <c r="I33" s="6"/>
      <c r="J33" s="6"/>
      <c r="K33" s="6"/>
      <c r="L33" s="14"/>
    </row>
    <row r="34" customFormat="false" ht="15" hidden="false" customHeight="false" outlineLevel="0" collapsed="false">
      <c r="A34" s="13" t="n">
        <v>30</v>
      </c>
      <c r="B34" s="6"/>
      <c r="C34" s="6"/>
      <c r="D34" s="6"/>
      <c r="E34" s="6"/>
      <c r="F34" s="6"/>
      <c r="G34" s="6"/>
      <c r="H34" s="11" t="str">
        <f aca="false">IF(COUNT(E34:G34)=3,E34*F34*G34,"")</f>
        <v/>
      </c>
      <c r="I34" s="6"/>
      <c r="J34" s="6"/>
      <c r="K34" s="6"/>
      <c r="L34" s="14"/>
    </row>
    <row r="35" customFormat="false" ht="15" hidden="false" customHeight="false" outlineLevel="0" collapsed="false">
      <c r="A35" s="13" t="n">
        <v>31</v>
      </c>
      <c r="B35" s="6"/>
      <c r="C35" s="6"/>
      <c r="D35" s="6"/>
      <c r="E35" s="6"/>
      <c r="F35" s="6"/>
      <c r="G35" s="6"/>
      <c r="H35" s="11" t="str">
        <f aca="false">IF(COUNT(E35:G35)=3,E35*F35*G35,"")</f>
        <v/>
      </c>
      <c r="I35" s="6"/>
      <c r="J35" s="6"/>
      <c r="K35" s="6"/>
      <c r="L35" s="14"/>
    </row>
    <row r="36" customFormat="false" ht="15" hidden="false" customHeight="false" outlineLevel="0" collapsed="false">
      <c r="B36" s="15" t="s">
        <v>133</v>
      </c>
      <c r="H36" s="16" t="n">
        <f aca="false">SUM(H5:H35)</f>
        <v>1330</v>
      </c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B5:B35" type="list">
      <formula1>REF_Listes!$B$2:$B$9</formula1>
      <formula2>0</formula2>
    </dataValidation>
    <dataValidation allowBlank="true" errorStyle="stop" operator="between" showDropDown="false" showErrorMessage="false" showInputMessage="false" sqref="I5:I35" type="list">
      <formula1>REF_Listes!$C$2:$C$9</formula1>
      <formula2>0</formula2>
    </dataValidation>
    <dataValidation allowBlank="true" errorStyle="stop" operator="between" showDropDown="false" showErrorMessage="false" showInputMessage="false" sqref="J5:J35" type="list">
      <formula1>REF_Listes!$D$2:$D$4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3" t="s">
        <v>134</v>
      </c>
      <c r="B1" s="3"/>
      <c r="C1" s="3"/>
      <c r="D1" s="3"/>
    </row>
    <row r="2" customFormat="false" ht="15" hidden="false" customHeight="true" outlineLevel="0" collapsed="false">
      <c r="A2" s="12" t="s">
        <v>135</v>
      </c>
      <c r="B2" s="12"/>
      <c r="C2" s="12"/>
      <c r="D2" s="12"/>
    </row>
    <row r="3" customFormat="false" ht="15" hidden="false" customHeight="false" outlineLevel="0" collapsed="false">
      <c r="A3" s="8" t="s">
        <v>69</v>
      </c>
      <c r="B3" s="8" t="s">
        <v>136</v>
      </c>
      <c r="C3" s="8" t="s">
        <v>137</v>
      </c>
      <c r="D3" s="8" t="s">
        <v>138</v>
      </c>
    </row>
    <row r="4" customFormat="false" ht="15" hidden="false" customHeight="false" outlineLevel="0" collapsed="false">
      <c r="A4" s="13" t="s">
        <v>9</v>
      </c>
      <c r="B4" s="17" t="n">
        <f aca="false">SUMIF(4_Besoins_Financiers!B:B,A4,4_Besoins_Financiers!H:H)</f>
        <v>600</v>
      </c>
      <c r="C4" s="18" t="n">
        <f aca="false">IF($B$12=0,0,B4/$B$12)</f>
        <v>0.451127819548872</v>
      </c>
    </row>
    <row r="5" customFormat="false" ht="15" hidden="false" customHeight="false" outlineLevel="0" collapsed="false">
      <c r="A5" s="13" t="s">
        <v>17</v>
      </c>
      <c r="B5" s="17" t="n">
        <f aca="false">SUMIF(4_Besoins_Financiers!B:B,A5,4_Besoins_Financiers!H:H)</f>
        <v>450</v>
      </c>
      <c r="C5" s="18" t="n">
        <f aca="false">IF($B$12=0,0,B5/$B$12)</f>
        <v>0.338345864661654</v>
      </c>
    </row>
    <row r="6" customFormat="false" ht="15" hidden="false" customHeight="false" outlineLevel="0" collapsed="false">
      <c r="A6" s="13" t="s">
        <v>25</v>
      </c>
      <c r="B6" s="17" t="n">
        <f aca="false">SUMIF(4_Besoins_Financiers!B:B,A6,4_Besoins_Financiers!H:H)</f>
        <v>280</v>
      </c>
      <c r="C6" s="18" t="n">
        <f aca="false">IF($B$12=0,0,B6/$B$12)</f>
        <v>0.210526315789474</v>
      </c>
    </row>
    <row r="7" customFormat="false" ht="15" hidden="false" customHeight="false" outlineLevel="0" collapsed="false">
      <c r="A7" s="13" t="s">
        <v>31</v>
      </c>
      <c r="B7" s="17" t="n">
        <f aca="false">SUMIF(4_Besoins_Financiers!B:B,A7,4_Besoins_Financiers!H:H)</f>
        <v>0</v>
      </c>
      <c r="C7" s="18" t="n">
        <f aca="false">IF($B$12=0,0,B7/$B$12)</f>
        <v>0</v>
      </c>
    </row>
    <row r="8" customFormat="false" ht="15" hidden="false" customHeight="false" outlineLevel="0" collapsed="false">
      <c r="A8" s="13" t="s">
        <v>36</v>
      </c>
      <c r="B8" s="17" t="n">
        <f aca="false">SUMIF(4_Besoins_Financiers!B:B,A8,4_Besoins_Financiers!H:H)</f>
        <v>0</v>
      </c>
      <c r="C8" s="18" t="n">
        <f aca="false">IF($B$12=0,0,B8/$B$12)</f>
        <v>0</v>
      </c>
    </row>
    <row r="9" customFormat="false" ht="15" hidden="false" customHeight="false" outlineLevel="0" collapsed="false">
      <c r="A9" s="13" t="s">
        <v>40</v>
      </c>
      <c r="B9" s="17" t="n">
        <f aca="false">SUMIF(4_Besoins_Financiers!B:B,A9,4_Besoins_Financiers!H:H)</f>
        <v>0</v>
      </c>
      <c r="C9" s="18" t="n">
        <f aca="false">IF($B$12=0,0,B9/$B$12)</f>
        <v>0</v>
      </c>
    </row>
    <row r="10" customFormat="false" ht="15" hidden="false" customHeight="false" outlineLevel="0" collapsed="false">
      <c r="A10" s="13" t="s">
        <v>43</v>
      </c>
      <c r="B10" s="17" t="n">
        <f aca="false">SUMIF(4_Besoins_Financiers!B:B,A10,4_Besoins_Financiers!H:H)</f>
        <v>0</v>
      </c>
      <c r="C10" s="18" t="n">
        <f aca="false">IF($B$12=0,0,B10/$B$12)</f>
        <v>0</v>
      </c>
    </row>
    <row r="11" customFormat="false" ht="15" hidden="false" customHeight="false" outlineLevel="0" collapsed="false">
      <c r="A11" s="13" t="s">
        <v>45</v>
      </c>
      <c r="B11" s="17" t="n">
        <f aca="false">SUMIF(4_Besoins_Financiers!B:B,A11,4_Besoins_Financiers!H:H)</f>
        <v>0</v>
      </c>
      <c r="C11" s="18" t="n">
        <f aca="false">IF($B$12=0,0,B11/$B$12)</f>
        <v>0</v>
      </c>
    </row>
    <row r="12" customFormat="false" ht="15" hidden="false" customHeight="false" outlineLevel="0" collapsed="false">
      <c r="A12" s="15" t="s">
        <v>139</v>
      </c>
      <c r="B12" s="16" t="n">
        <f aca="false">SUM(B4:B11)</f>
        <v>1330</v>
      </c>
      <c r="C12" s="18" t="n">
        <f aca="false">IF(B12=0,0,1)</f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3" t="s">
        <v>140</v>
      </c>
      <c r="B1" s="3"/>
      <c r="C1" s="3"/>
      <c r="D1" s="3"/>
    </row>
    <row r="2" customFormat="false" ht="15" hidden="false" customHeight="true" outlineLevel="0" collapsed="false">
      <c r="A2" s="12" t="s">
        <v>141</v>
      </c>
      <c r="B2" s="12"/>
      <c r="C2" s="12"/>
      <c r="D2" s="12"/>
    </row>
    <row r="3" customFormat="false" ht="15" hidden="false" customHeight="false" outlineLevel="0" collapsed="false">
      <c r="A3" s="8" t="s">
        <v>69</v>
      </c>
      <c r="B3" s="8" t="s">
        <v>142</v>
      </c>
      <c r="C3" s="8" t="s">
        <v>143</v>
      </c>
      <c r="D3" s="8" t="s">
        <v>105</v>
      </c>
    </row>
    <row r="4" customFormat="false" ht="15" hidden="false" customHeight="false" outlineLevel="0" collapsed="false">
      <c r="A4" s="9" t="s">
        <v>144</v>
      </c>
      <c r="B4" s="17" t="n">
        <f aca="false">5_Synthese_Besoins!B12</f>
        <v>1330</v>
      </c>
    </row>
    <row r="5" customFormat="false" ht="15" hidden="false" customHeight="false" outlineLevel="0" collapsed="false">
      <c r="A5" s="13" t="s">
        <v>92</v>
      </c>
      <c r="B5" s="17" t="n">
        <f aca="false">2_Identification_Projet!B13</f>
        <v>1000</v>
      </c>
      <c r="C5" s="18" t="n">
        <f aca="false">IF($B$4=0,0,B5/$B$4)</f>
        <v>0.75187969924812</v>
      </c>
      <c r="D5" s="19" t="s">
        <v>145</v>
      </c>
    </row>
    <row r="6" customFormat="false" ht="15" hidden="false" customHeight="false" outlineLevel="0" collapsed="false">
      <c r="A6" s="13" t="s">
        <v>146</v>
      </c>
      <c r="B6" s="6" t="n">
        <v>0</v>
      </c>
      <c r="C6" s="18" t="n">
        <f aca="false">IF($B$4=0,0,B6/$B$4)</f>
        <v>0</v>
      </c>
    </row>
    <row r="7" customFormat="false" ht="15" hidden="false" customHeight="false" outlineLevel="0" collapsed="false">
      <c r="A7" s="20" t="s">
        <v>147</v>
      </c>
      <c r="B7" s="16" t="n">
        <f aca="false">B4-B5-B6</f>
        <v>330</v>
      </c>
      <c r="C7" s="18" t="n">
        <f aca="false">IF($B$4=0,0,B7/$B$4)</f>
        <v>0.24812030075188</v>
      </c>
      <c r="D7" s="19" t="s">
        <v>148</v>
      </c>
    </row>
    <row r="8" customFormat="false" ht="15" hidden="false" customHeight="false" outlineLevel="0" collapsed="false">
      <c r="A8" s="21" t="s">
        <v>149</v>
      </c>
      <c r="B8" s="17" t="n">
        <f aca="false">SUMIF(4_Besoins_Financiers!J:J,"*Crédit*",4_Besoins_Financiers!H:H)</f>
        <v>1330</v>
      </c>
      <c r="D8" s="19" t="s">
        <v>150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3" t="s">
        <v>151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12" t="s">
        <v>152</v>
      </c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8" t="s">
        <v>153</v>
      </c>
      <c r="B3" s="8" t="s">
        <v>154</v>
      </c>
      <c r="C3" s="8" t="s">
        <v>155</v>
      </c>
      <c r="D3" s="8" t="s">
        <v>156</v>
      </c>
      <c r="E3" s="8" t="s">
        <v>142</v>
      </c>
      <c r="F3" s="8" t="s">
        <v>157</v>
      </c>
      <c r="G3" s="8" t="s">
        <v>158</v>
      </c>
      <c r="H3" s="8" t="s">
        <v>159</v>
      </c>
    </row>
    <row r="4" customFormat="false" ht="23.85" hidden="false" customHeight="false" outlineLevel="0" collapsed="false">
      <c r="A4" s="9" t="n">
        <v>1</v>
      </c>
      <c r="B4" s="22" t="s">
        <v>160</v>
      </c>
      <c r="C4" s="22" t="s">
        <v>161</v>
      </c>
      <c r="D4" s="22" t="s">
        <v>162</v>
      </c>
      <c r="E4" s="17" t="n">
        <f aca="false">SUMIF(4_Besoins_Financiers!I:I,"Préparation",4_Besoins_Financiers!H:H)</f>
        <v>1050</v>
      </c>
      <c r="F4" s="22" t="s">
        <v>163</v>
      </c>
      <c r="G4" s="22" t="s">
        <v>164</v>
      </c>
      <c r="H4" s="22" t="s">
        <v>165</v>
      </c>
    </row>
    <row r="5" customFormat="false" ht="23.85" hidden="false" customHeight="false" outlineLevel="0" collapsed="false">
      <c r="A5" s="9" t="n">
        <v>2</v>
      </c>
      <c r="B5" s="22" t="s">
        <v>166</v>
      </c>
      <c r="C5" s="22" t="s">
        <v>167</v>
      </c>
      <c r="D5" s="22" t="s">
        <v>168</v>
      </c>
      <c r="E5" s="17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280</v>
      </c>
      <c r="F5" s="22" t="s">
        <v>163</v>
      </c>
      <c r="G5" s="22" t="s">
        <v>169</v>
      </c>
      <c r="H5" s="22" t="s">
        <v>165</v>
      </c>
    </row>
    <row r="6" customFormat="false" ht="15" hidden="false" customHeight="false" outlineLevel="0" collapsed="false">
      <c r="A6" s="9" t="n">
        <v>3</v>
      </c>
      <c r="B6" s="22" t="s">
        <v>170</v>
      </c>
      <c r="C6" s="22" t="s">
        <v>171</v>
      </c>
      <c r="D6" s="22" t="s">
        <v>172</v>
      </c>
      <c r="E6" s="17" t="n">
        <f aca="false">SUM(SUMIF(4_Besoins_Financiers!I:I,"Récolte",4_Besoins_Financiers!H:H),SUMIF(4_Besoins_Financiers!I:I,"Post récolte",4_Besoins_Financiers!H:H),SUMIF(4_Besoins_Financiers!I:I,"Commercialisation",4_Besoins_Financiers!H:H))</f>
        <v>0</v>
      </c>
      <c r="F6" s="22" t="s">
        <v>163</v>
      </c>
      <c r="G6" s="22" t="s">
        <v>173</v>
      </c>
      <c r="H6" s="22" t="s">
        <v>165</v>
      </c>
    </row>
    <row r="7" customFormat="false" ht="15" hidden="false" customHeight="false" outlineLevel="0" collapsed="false">
      <c r="B7" s="15" t="s">
        <v>174</v>
      </c>
      <c r="E7" s="16" t="n">
        <f aca="false">SUM(E4:E6)</f>
        <v>1330</v>
      </c>
    </row>
    <row r="8" customFormat="false" ht="15" hidden="false" customHeight="false" outlineLevel="0" collapsed="false">
      <c r="B8" s="23" t="s">
        <v>175</v>
      </c>
      <c r="E8" s="11" t="n">
        <f aca="false">5_Synthese_Besoins!B12-E7</f>
        <v>0</v>
      </c>
      <c r="F8" s="11" t="str">
        <f aca="false">IF(E8=0,"OK","Écart à corriger")</f>
        <v>OK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2026-07-17T13:51:13Z</dcterms:created>
  <dc:creator>openpyxl</dc:creator>
  <dc:description/>
  <dc:language>en-US</dc:language>
  <cp:lastModifiedBy/>
  <dcterms:modified xsi:type="dcterms:W3CDTF">2026-07-17T13:51:14Z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