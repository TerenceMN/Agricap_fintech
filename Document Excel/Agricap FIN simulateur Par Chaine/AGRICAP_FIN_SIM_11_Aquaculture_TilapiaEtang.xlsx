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<sst xmlns="http://schemas.openxmlformats.org/spreadsheetml/2006/main" count="556" uniqueCount="420">
  <si>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</si>
  <si>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</si>
  <si>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</si>
  <si>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</si>
  <si>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</si>
  <si>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</si>
  <si>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</si>
  <si>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</si>
  <si>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Cycle tilapia — étangs de 4 000 m²</t>
  </si>
  <si>
    <t xml:space="preserve">Besoin total du cycle</t>
  </si>
  <si>
    <t xml:space="preserve">Code dossier</t>
  </si>
  <si>
    <t xml:space="preserve">11-Aquaculture-TilapiaEtang</t>
  </si>
  <si>
    <t xml:space="preserve">Crédit recommandé</t>
  </si>
  <si>
    <t xml:space="preserve">Nom de l'opérateur</t>
  </si>
  <si>
    <t xml:space="preserve">Pisciculture Mai Moto</t>
  </si>
  <si>
    <t xml:space="preserve">Apport propre</t>
  </si>
  <si>
    <t xml:space="preserve">Filière</t>
  </si>
  <si>
    <t xml:space="preserve">Aquaculture &amp; pisciculture</t>
  </si>
  <si>
    <t xml:space="preserve">Recettes prévues</t>
  </si>
  <si>
    <t xml:space="preserve">Zone</t>
  </si>
  <si>
    <t xml:space="preserve">Kinshasa / Maluku</t>
  </si>
  <si>
    <t xml:space="preserve">Résultat net prévisionnel</t>
  </si>
  <si>
    <t xml:space="preserve">Campagne / saison</t>
  </si>
  <si>
    <t xml:space="preserve">2026 - Cycle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</si>
  <si>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</si>
  <si>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</si>
  <si>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</si>
  <si>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</si>
  <si>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</si>
  <si>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</si>
  <si>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</si>
  <si>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</si>
  <si>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</si>
  <si>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</si>
  <si>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</si>
  <si>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</si>
  <si>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</si>
  <si>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</si>
  <si>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</si>
  <si>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</si>
  <si>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</si>
  <si>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</si>
  <si>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</si>
  <si>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</si>
  <si>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</si>
  <si>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</si>
  <si>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</si>
  <si>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</si>
  <si>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Entreprise familiale</t>
  </si>
  <si>
    <t xml:space="preserve">Profils chaîne de valeur</t>
  </si>
  <si>
    <t xml:space="preserve">Pisciculteur</t>
  </si>
  <si>
    <t xml:space="preserve">Sélection multiple</t>
  </si>
  <si>
    <t xml:space="preserve">Production principale</t>
  </si>
  <si>
    <t xml:space="preserve">Tilapia du Nil</t>
  </si>
  <si>
    <t xml:space="preserve">Superficie en eau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</si>
  <si>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</si>
  <si>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</si>
  <si>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</si>
  <si>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</si>
  <si>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Domiciliation ventes + équipement nanti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</si>
  <si>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</si>
  <si>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</si>
  <si>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</si>
  <si>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</si>
  <si>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</si>
  <si>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</si>
  <si>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</si>
  <si>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</si>
  <si>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</si>
  <si>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</si>
  <si>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</si>
  <si>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</si>
  <si>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</si>
  <si>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Réhabilitation des digues, chaulage</t>
  </si>
  <si>
    <t xml:space="preserve">Implantation</t>
  </si>
  <si>
    <t xml:space="preserve">Empoissonnement (alevins)</t>
  </si>
  <si>
    <t xml:space="preserve">Croissance</t>
  </si>
  <si>
    <t xml:space="preserve">Grossissement, alimentation, suivi</t>
  </si>
  <si>
    <t xml:space="preserve">Récolte</t>
  </si>
  <si>
    <t xml:space="preserve">Pêches de tri puis pêche totale</t>
  </si>
  <si>
    <t xml:space="preserve">Post-récolte</t>
  </si>
  <si>
    <t xml:space="preserve">Conditionnement sous glace</t>
  </si>
  <si>
    <t xml:space="preserve">Commercialisation</t>
  </si>
  <si>
    <t xml:space="preserve">Vente frais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</si>
  <si>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</si>
  <si>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</si>
  <si>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</si>
  <si>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</si>
  <si>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</si>
  <si>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</si>
  <si>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</si>
  <si>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</si>
  <si>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</si>
  <si>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</si>
  <si>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</si>
  <si>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</si>
  <si>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</si>
  <si>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</si>
  <si>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Alevins &amp; intrants d'élevage</t>
  </si>
  <si>
    <t xml:space="preserve">Alevins (3/m²)</t>
  </si>
  <si>
    <t xml:space="preserve">alevins</t>
  </si>
  <si>
    <t xml:space="preserve">Crédit</t>
  </si>
  <si>
    <t xml:space="preserve">Chaux et fertilisation des étangs</t>
  </si>
  <si>
    <t xml:space="preserve">forfait</t>
  </si>
  <si>
    <t xml:space="preserve">Alimentation</t>
  </si>
  <si>
    <t xml:space="preserve">Aliment d'appoint</t>
  </si>
  <si>
    <t xml:space="preserve">Main d'œuvre &amp; gardiennage</t>
  </si>
  <si>
    <t xml:space="preserve">Main d'œuvre</t>
  </si>
  <si>
    <t xml:space="preserve">mois</t>
  </si>
  <si>
    <t xml:space="preserve">Tout le cycle</t>
  </si>
  <si>
    <t xml:space="preserve">Gardiennage</t>
  </si>
  <si>
    <t xml:space="preserve">Supervision technique</t>
  </si>
  <si>
    <t xml:space="preserve">Apport</t>
  </si>
  <si>
    <t xml:space="preserve">Équipement &amp; aménagements</t>
  </si>
  <si>
    <t xml:space="preserve">Réhabilitation digues et moines</t>
  </si>
  <si>
    <t xml:space="preserve">Filets et épuisettes</t>
  </si>
  <si>
    <t xml:space="preserve">Pêche &amp; conditionnement</t>
  </si>
  <si>
    <t xml:space="preserve">Énergie / pompage</t>
  </si>
  <si>
    <t xml:space="preserve">Glace et conditionnement</t>
  </si>
  <si>
    <t xml:space="preserve">Logistique</t>
  </si>
  <si>
    <t xml:space="preserve">Transport frais</t>
  </si>
  <si>
    <t xml:space="preserve">Frais de vente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</si>
  <si>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</si>
  <si>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</si>
  <si>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</si>
  <si>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</si>
  <si>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</si>
  <si>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</si>
  <si>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</si>
  <si>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</si>
  <si>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</si>
  <si>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</si>
  <si>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</si>
  <si>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</si>
  <si>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</si>
  <si>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</si>
  <si>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</si>
  <si>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</si>
  <si>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</si>
  <si>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</si>
  <si>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</si>
  <si>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</si>
  <si>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</si>
  <si>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</si>
  <si>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</si>
  <si>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</si>
  <si>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</si>
  <si>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</si>
  <si>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</si>
  <si>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</si>
  <si>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</si>
  <si>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</si>
  <si>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</si>
  <si>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</si>
  <si>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</si>
  <si>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</si>
  <si>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</si>
  <si>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</si>
  <si>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</si>
  <si>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</si>
  <si>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</si>
  <si>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</si>
  <si>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</si>
  <si>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</si>
  <si>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</si>
  <si>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</si>
  <si>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</si>
  <si>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</si>
  <si>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</si>
  <si>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</si>
  <si>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</si>
  <si>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par cycle (t/ha)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</si>
  <si>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</si>
  <si>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</si>
  <si>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</si>
  <si>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</si>
  <si>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</si>
  <si>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</si>
  <si>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</si>
  <si>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</si>
  <si>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Tilapia frais (calibre marchand)</t>
  </si>
  <si>
    <t xml:space="preserve">Vente frais sous glace</t>
  </si>
  <si>
    <t xml:space="preserve">Hypothèse centrale</t>
  </si>
  <si>
    <t xml:space="preserve">Gros sujets triés (vente vive)</t>
  </si>
  <si>
    <t xml:space="preserve">Vente vive à l'étang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</si>
  <si>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</si>
  <si>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</si>
  <si>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</si>
  <si>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</si>
  <si>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</si>
  <si>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</si>
  <si>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</si>
  <si>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</si>
  <si>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</si>
  <si>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</si>
  <si>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</si>
  <si>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</si>
  <si>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</si>
  <si>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</si>
  <si>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</si>
  <si>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</si>
  <si>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</si>
  <si>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</si>
  <si>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</si>
  <si>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</si>
  <si>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</si>
  <si>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</si>
  <si>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</si>
  <si>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</si>
  <si>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</si>
  <si>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</si>
  <si>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</si>
  <si>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</si>
  <si>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</si>
  <si>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</si>
  <si>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</si>
  <si>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</si>
  <si>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</si>
  <si>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</si>
  <si>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</si>
  <si>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</si>
  <si>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</si>
  <si>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</si>
  <si>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</si>
  <si>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</si>
  <si>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</si>
  <si>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</si>
  <si>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</si>
  <si>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</si>
  <si>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</si>
  <si>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</si>
  <si>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</si>
  <si>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</si>
  <si>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</si>
  <si>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</si>
  <si>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</si>
  <si>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</si>
  <si>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</si>
  <si>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</si>
  <si>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</si>
  <si>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</si>
  <si>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</si>
  <si>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</si>
  <si>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</si>
  <si>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</si>
  <si>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</si>
  <si>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</si>
  <si>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</si>
  <si>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</si>
  <si>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</si>
  <si>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</si>
  <si>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</si>
  <si>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</si>
  <si>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</si>
  <si>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</si>
  <si>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Tilapia du Nil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</si>
  <si>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</si>
  <si>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</si>
  <si>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</si>
  <si>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</si>
  <si>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Tilapia du Nil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</si>
  <si>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</si>
  <si>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</si>
  <si>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</si>
  <si>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</si>
  <si>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</si>
  <si>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</si>
  <si>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</si>
  <si>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</si>
  <si>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</si>
  <si>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</si>
  <si>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</si>
  <si>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</si>
  <si>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</si>
  <si>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</si>
  <si>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</si>
  <si>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</si>
  <si>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</si>
  <si>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</si>
  <si>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</si>
  <si>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</si>
  <si>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</si>
  <si>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</si>
  <si>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</si>
  <si>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</si>
  <si>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</si>
  <si>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</si>
  <si>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</si>
  <si>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</si>
  <si>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</si>
  <si>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Entretien</t>
  </si>
  <si>
    <t xml:space="preserve">Post récolte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</si>
  <si>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</si>
  <si>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</si>
  <si>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</si>
  <si>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</si>
  <si>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</si>
  <si>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</si>
  <si>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</si>
  <si>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</si>
  <si>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</si>
  <si>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</si>
  <si>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</si>
  <si>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</si>
  <si>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</si>
  <si>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</si>
  <si>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</si>
  <si>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</si>
  <si>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</si>
  <si>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</si>
  <si>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</si>
  <si>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</si>
  <si>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</si>
  <si>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</si>
  <si>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</si>
  <si>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</si>
  <si>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</si>
  <si>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</si>
  <si>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</si>
  <si>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</si>
  <si>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</si>
  <si>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</si>
  <si>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</si>
  <si>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</si>
  <si>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</si>
  <si>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</si>
  <si>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</si>
  <si>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</si>
  <si>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</si>
  <si>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</si>
  <si>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</si>
  <si>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</si>
  <si>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</si>
  <si>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</si>
  <si>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</si>
  <si>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</si>
  <si>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</si>
  <si>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de production par kg (USD/kg)</t>
  </si>
  <si>
    <t xml:space="preserve">Réf. étang semi-intensif</t>
  </si>
  <si>
    <t xml:space="preserve">Non</t>
  </si>
  <si>
    <t xml:space="preserve">Semi-intensif fertilisé</t>
  </si>
  <si>
    <t xml:space="preserve">Densité d'alevins (par m²)</t>
  </si>
  <si>
    <t xml:space="preserve">Norme : 2–5/m²</t>
  </si>
  <si>
    <t xml:space="preserve">Prix de vente retenu (USD/t)</t>
  </si>
  <si>
    <t xml:space="preserve">Soit 3–5 USD/kg frais</t>
  </si>
  <si>
    <t xml:space="preserve">Taux de perte (mortalité + pêche)</t>
  </si>
  <si>
    <t xml:space="preserve">Approvisionnement en alevins de qualité sécurisé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</si>
  <si>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</si>
  <si>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</si>
  <si>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</si>
  <si>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</si>
  <si>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</si>
  <si>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</si>
  <si>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</si>
  <si>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</si>
  <si>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</si>
  <si>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</si>
  <si>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</si>
  <si>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</si>
  <si>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</si>
  <si>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</si>
  <si>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</si>
  <si>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</si>
  <si>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</si>
  <si>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</si>
  <si>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</si>
  <si>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</si>
  <si>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</si>
  <si>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</si>
  <si>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</si>
  <si>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</si>
  <si>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</si>
  <si>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</si>
  <si>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</si>
  <si>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</si>
  <si>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</si>
  <si>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</si>
  <si>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</si>
  <si>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</si>
  <si>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</si>
  <si>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</si>
  <si>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</si>
  <si>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</si>
  <si>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</si>
  <si>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</si>
  <si>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</si>
  <si>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</si>
  <si>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</si>
  <si>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</si>
  <si>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</si>
  <si>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</si>
  <si>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</si>
  <si>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</si>
  <si>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</si>
  <si>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</si>
  <si>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</si>
  <si>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</si>
  <si>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</si>
  <si>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</si>
  <si>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</si>
  <si>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</si>
  <si>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</si>
  <si>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</si>
  <si>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</si>
  <si>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t/ha/cycle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</si>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</sst>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4940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4340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600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10090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5441.75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1.22818826697043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7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8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6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0.4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600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1</v>
      </c>
      <c r="D6" s="16" t="n">
        <f aca="false">C6-B6+1</f>
        <v>1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6</v>
      </c>
      <c r="D7" s="16" t="n">
        <f aca="false">C7-B7+1</f>
        <v>5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6</v>
      </c>
      <c r="C8" s="15" t="n">
        <v>7</v>
      </c>
      <c r="D8" s="16" t="n">
        <f aca="false">C8-B8+1</f>
        <v>2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6</v>
      </c>
      <c r="C9" s="15" t="n">
        <v>7</v>
      </c>
      <c r="D9" s="16" t="n">
        <f aca="false">C9-B9+1</f>
        <v>2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7</v>
      </c>
      <c r="D10" s="16" t="n">
        <f aca="false">C10-B10+1</f>
        <v>2</v>
      </c>
      <c r="E10" s="17" t="s">
        <v>83</v>
      </c>
      <c r="F10" s="15" t="n">
        <f aca="false">8_Previsions_Ventes!B5</f>
        <v>2.4</v>
      </c>
      <c r="G10" s="17" t="s">
        <v>84</v>
      </c>
      <c r="H10" s="15" t="n">
        <v>4000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12000</v>
      </c>
      <c r="F5" s="20" t="n">
        <v>0.08</v>
      </c>
      <c r="G5" s="20" t="n">
        <v>1</v>
      </c>
      <c r="H5" s="21" t="n">
        <f aca="false">E5*F5*G5</f>
        <v>960</v>
      </c>
      <c r="I5" s="19" t="s">
        <v>74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1</v>
      </c>
      <c r="F6" s="20" t="n">
        <v>150</v>
      </c>
      <c r="G6" s="20" t="n">
        <v>1</v>
      </c>
      <c r="H6" s="21" t="n">
        <f aca="false">E6*F6*G6</f>
        <v>150</v>
      </c>
      <c r="I6" s="19" t="s">
        <v>72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104</v>
      </c>
      <c r="C10" s="18" t="s">
        <v>105</v>
      </c>
      <c r="D10" s="18" t="s">
        <v>84</v>
      </c>
      <c r="E10" s="20" t="n">
        <v>2</v>
      </c>
      <c r="F10" s="20" t="n">
        <v>800</v>
      </c>
      <c r="G10" s="20" t="n">
        <v>1</v>
      </c>
      <c r="H10" s="21" t="n">
        <f aca="false">E10*F10*G10</f>
        <v>1600</v>
      </c>
      <c r="I10" s="19" t="s">
        <v>76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104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104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104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104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106</v>
      </c>
      <c r="C15" s="18" t="s">
        <v>107</v>
      </c>
      <c r="D15" s="18" t="s">
        <v>108</v>
      </c>
      <c r="E15" s="20" t="n">
        <v>7</v>
      </c>
      <c r="F15" s="20" t="n">
        <v>60</v>
      </c>
      <c r="G15" s="20" t="n">
        <v>1</v>
      </c>
      <c r="H15" s="21" t="n">
        <f aca="false">E15*F15*G15</f>
        <v>420</v>
      </c>
      <c r="I15" s="19" t="s">
        <v>109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106</v>
      </c>
      <c r="C16" s="18" t="s">
        <v>110</v>
      </c>
      <c r="D16" s="18" t="s">
        <v>108</v>
      </c>
      <c r="E16" s="20" t="n">
        <v>7</v>
      </c>
      <c r="F16" s="20" t="n">
        <v>40</v>
      </c>
      <c r="G16" s="20" t="n">
        <v>1</v>
      </c>
      <c r="H16" s="21" t="n">
        <f aca="false">E16*F16*G16</f>
        <v>280</v>
      </c>
      <c r="I16" s="19" t="s">
        <v>109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106</v>
      </c>
      <c r="C17" s="18" t="s">
        <v>111</v>
      </c>
      <c r="D17" s="18" t="s">
        <v>108</v>
      </c>
      <c r="E17" s="20" t="n">
        <v>7</v>
      </c>
      <c r="F17" s="20" t="n">
        <v>30</v>
      </c>
      <c r="G17" s="20" t="n">
        <v>1</v>
      </c>
      <c r="H17" s="21" t="n">
        <f aca="false">E17*F17*G17</f>
        <v>210</v>
      </c>
      <c r="I17" s="19" t="s">
        <v>109</v>
      </c>
      <c r="J17" s="20" t="s">
        <v>112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106</v>
      </c>
      <c r="C18" s="18"/>
      <c r="D18" s="18"/>
      <c r="E18" s="20"/>
      <c r="F18" s="20"/>
      <c r="G18" s="20" t="n">
        <v>1</v>
      </c>
      <c r="H18" s="21" t="n">
        <f aca="false">E18*F18*G18</f>
        <v>0</v>
      </c>
      <c r="I18" s="19"/>
      <c r="J18" s="20"/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106</v>
      </c>
      <c r="C19" s="18"/>
      <c r="D19" s="18"/>
      <c r="E19" s="20"/>
      <c r="F19" s="20"/>
      <c r="G19" s="20" t="n">
        <v>1</v>
      </c>
      <c r="H19" s="21" t="n">
        <f aca="false">E19*F19*G19</f>
        <v>0</v>
      </c>
      <c r="I19" s="19"/>
      <c r="J19" s="20"/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113</v>
      </c>
      <c r="C20" s="18" t="s">
        <v>114</v>
      </c>
      <c r="D20" s="18" t="s">
        <v>103</v>
      </c>
      <c r="E20" s="20" t="n">
        <v>1</v>
      </c>
      <c r="F20" s="20" t="n">
        <v>400</v>
      </c>
      <c r="G20" s="20" t="n">
        <v>1</v>
      </c>
      <c r="H20" s="21" t="n">
        <f aca="false">E20*F20*G20</f>
        <v>400</v>
      </c>
      <c r="I20" s="19" t="s">
        <v>72</v>
      </c>
      <c r="J20" s="20" t="s">
        <v>101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113</v>
      </c>
      <c r="C21" s="18" t="s">
        <v>115</v>
      </c>
      <c r="D21" s="18" t="s">
        <v>103</v>
      </c>
      <c r="E21" s="20" t="n">
        <v>1</v>
      </c>
      <c r="F21" s="20" t="n">
        <v>180</v>
      </c>
      <c r="G21" s="20" t="n">
        <v>1</v>
      </c>
      <c r="H21" s="21" t="n">
        <f aca="false">E21*F21*G21</f>
        <v>180</v>
      </c>
      <c r="I21" s="19" t="s">
        <v>72</v>
      </c>
      <c r="J21" s="20" t="s">
        <v>112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116</v>
      </c>
      <c r="C22" s="18" t="s">
        <v>117</v>
      </c>
      <c r="D22" s="18" t="s">
        <v>103</v>
      </c>
      <c r="E22" s="20" t="n">
        <v>1</v>
      </c>
      <c r="F22" s="20" t="n">
        <v>140</v>
      </c>
      <c r="G22" s="20" t="n">
        <v>1</v>
      </c>
      <c r="H22" s="21" t="n">
        <f aca="false">E22*F22*G22</f>
        <v>140</v>
      </c>
      <c r="I22" s="19" t="s">
        <v>76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116</v>
      </c>
      <c r="C23" s="18" t="s">
        <v>118</v>
      </c>
      <c r="D23" s="18" t="s">
        <v>103</v>
      </c>
      <c r="E23" s="20" t="n">
        <v>1</v>
      </c>
      <c r="F23" s="20" t="n">
        <v>200</v>
      </c>
      <c r="G23" s="20" t="n">
        <v>1</v>
      </c>
      <c r="H23" s="21" t="n">
        <f aca="false">E23*F23*G23</f>
        <v>200</v>
      </c>
      <c r="I23" s="19" t="s">
        <v>78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116</v>
      </c>
      <c r="C24" s="18"/>
      <c r="D24" s="18"/>
      <c r="E24" s="20"/>
      <c r="F24" s="20"/>
      <c r="G24" s="20" t="n">
        <v>1</v>
      </c>
      <c r="H24" s="21" t="n">
        <f aca="false">E24*F24*G24</f>
        <v>0</v>
      </c>
      <c r="I24" s="19"/>
      <c r="J24" s="20"/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116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116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119</v>
      </c>
      <c r="C27" s="18" t="s">
        <v>120</v>
      </c>
      <c r="D27" s="18" t="s">
        <v>103</v>
      </c>
      <c r="E27" s="20" t="n">
        <v>1</v>
      </c>
      <c r="F27" s="20" t="n">
        <v>120</v>
      </c>
      <c r="G27" s="20" t="n">
        <v>1</v>
      </c>
      <c r="H27" s="21" t="n">
        <f aca="false">E27*F27*G27</f>
        <v>120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119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119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119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121</v>
      </c>
      <c r="D31" s="18" t="s">
        <v>103</v>
      </c>
      <c r="E31" s="20" t="n">
        <v>1</v>
      </c>
      <c r="F31" s="20" t="n">
        <v>80</v>
      </c>
      <c r="G31" s="20" t="n">
        <v>1</v>
      </c>
      <c r="H31" s="21" t="n">
        <f aca="false">E31*F31*G31</f>
        <v>80</v>
      </c>
      <c r="I31" s="19" t="s">
        <v>82</v>
      </c>
      <c r="J31" s="20" t="s">
        <v>112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122</v>
      </c>
      <c r="C34" s="18" t="s">
        <v>123</v>
      </c>
      <c r="D34" s="18" t="s">
        <v>103</v>
      </c>
      <c r="E34" s="20" t="n">
        <v>1</v>
      </c>
      <c r="F34" s="20" t="n">
        <v>200</v>
      </c>
      <c r="G34" s="20" t="n">
        <v>1</v>
      </c>
      <c r="H34" s="21" t="n">
        <f aca="false">E34*F34*G34</f>
        <v>200</v>
      </c>
      <c r="I34" s="19" t="s">
        <v>109</v>
      </c>
      <c r="J34" s="20" t="s">
        <v>112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122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124</v>
      </c>
      <c r="H36" s="23" t="n">
        <f aca="false">SUM(H5:H35)</f>
        <v>4940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"Alevins &amp; intrants d'élevage,Alimentation,Main d'œuvre &amp; gardiennage,Équipement &amp; aménagements,Pêche &amp; conditionnement,Logistique,Commercialisation,Réserve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125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126</v>
      </c>
    </row>
    <row r="4" customFormat="false" ht="15" hidden="false" customHeight="true" outlineLevel="0" collapsed="false">
      <c r="A4" s="4" t="s">
        <v>45</v>
      </c>
      <c r="B4" s="4" t="s">
        <v>127</v>
      </c>
      <c r="C4" s="4" t="s">
        <v>128</v>
      </c>
      <c r="D4" s="4" t="s">
        <v>129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1110</v>
      </c>
      <c r="C5" s="12"/>
      <c r="D5" s="12"/>
    </row>
    <row r="6" customFormat="false" ht="15" hidden="false" customHeight="true" outlineLevel="0" collapsed="false">
      <c r="A6" s="6" t="s">
        <v>104</v>
      </c>
      <c r="B6" s="8" t="n">
        <f aca="false">SUMIF(4_Besoins_Financiers!B:B,A6,4_Besoins_Financiers!H:H)</f>
        <v>1600</v>
      </c>
      <c r="C6" s="12"/>
      <c r="D6" s="12"/>
    </row>
    <row r="7" customFormat="false" ht="15" hidden="false" customHeight="true" outlineLevel="0" collapsed="false">
      <c r="A7" s="6" t="s">
        <v>106</v>
      </c>
      <c r="B7" s="8" t="n">
        <f aca="false">SUMIF(4_Besoins_Financiers!B:B,A7,4_Besoins_Financiers!H:H)</f>
        <v>910</v>
      </c>
      <c r="C7" s="12"/>
      <c r="D7" s="12"/>
    </row>
    <row r="8" customFormat="false" ht="15" hidden="false" customHeight="true" outlineLevel="0" collapsed="false">
      <c r="A8" s="6" t="s">
        <v>113</v>
      </c>
      <c r="B8" s="8" t="n">
        <f aca="false">SUMIF(4_Besoins_Financiers!B:B,A8,4_Besoins_Financiers!H:H)</f>
        <v>580</v>
      </c>
      <c r="C8" s="12"/>
      <c r="D8" s="12"/>
    </row>
    <row r="9" customFormat="false" ht="15" hidden="false" customHeight="true" outlineLevel="0" collapsed="false">
      <c r="A9" s="6" t="s">
        <v>116</v>
      </c>
      <c r="B9" s="8" t="n">
        <f aca="false">SUMIF(4_Besoins_Financiers!B:B,A9,4_Besoins_Financiers!H:H)</f>
        <v>340</v>
      </c>
      <c r="C9" s="12"/>
      <c r="D9" s="12"/>
    </row>
    <row r="10" customFormat="false" ht="15" hidden="false" customHeight="true" outlineLevel="0" collapsed="false">
      <c r="A10" s="6" t="s">
        <v>119</v>
      </c>
      <c r="B10" s="8" t="n">
        <f aca="false">SUMIF(4_Besoins_Financiers!B:B,A10,4_Besoins_Financiers!H:H)</f>
        <v>120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80</v>
      </c>
      <c r="C11" s="12"/>
      <c r="D11" s="12"/>
    </row>
    <row r="12" customFormat="false" ht="15" hidden="false" customHeight="true" outlineLevel="0" collapsed="false">
      <c r="A12" s="6" t="s">
        <v>122</v>
      </c>
      <c r="B12" s="8" t="n">
        <f aca="false">SUMIF(4_Besoins_Financiers!B:B,A12,4_Besoins_Financiers!H:H)</f>
        <v>200</v>
      </c>
      <c r="C12" s="12"/>
      <c r="D12" s="12"/>
    </row>
    <row r="13" customFormat="false" ht="15" hidden="false" customHeight="true" outlineLevel="0" collapsed="false">
      <c r="A13" s="22" t="s">
        <v>130</v>
      </c>
      <c r="B13" s="23" t="n">
        <f aca="false">SUM(B5:B12)</f>
        <v>4940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131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133</v>
      </c>
      <c r="D4" s="4" t="s">
        <v>71</v>
      </c>
    </row>
    <row r="6" customFormat="false" ht="15" hidden="false" customHeight="true" outlineLevel="0" collapsed="false">
      <c r="A6" s="6" t="s">
        <v>134</v>
      </c>
      <c r="B6" s="8" t="n">
        <f aca="false">5_Synthese_Besoins!B13</f>
        <v>4940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600</v>
      </c>
      <c r="C7" s="25" t="n">
        <f aca="false">B7/$B$6</f>
        <v>0.121457489878543</v>
      </c>
      <c r="D7" s="12" t="s">
        <v>135</v>
      </c>
    </row>
    <row r="8" customFormat="false" ht="15" hidden="false" customHeight="true" outlineLevel="0" collapsed="false">
      <c r="A8" s="6" t="s">
        <v>12</v>
      </c>
      <c r="B8" s="8" t="n">
        <f aca="false">B6-B7-B9</f>
        <v>4340</v>
      </c>
      <c r="C8" s="25" t="n">
        <f aca="false">B8/$B$6</f>
        <v>0.878542510121458</v>
      </c>
      <c r="D8" s="12" t="s">
        <v>136</v>
      </c>
    </row>
    <row r="9" customFormat="false" ht="15" hidden="false" customHeight="true" outlineLevel="0" collapsed="false">
      <c r="A9" s="6" t="s">
        <v>137</v>
      </c>
      <c r="B9" s="8" t="n">
        <v>0</v>
      </c>
      <c r="C9" s="25" t="n">
        <f aca="false">B9/$B$6</f>
        <v>0</v>
      </c>
      <c r="D9" s="12" t="s">
        <v>138</v>
      </c>
    </row>
    <row r="10" customFormat="false" ht="15" hidden="false" customHeight="true" outlineLevel="0" collapsed="false">
      <c r="A10" s="6" t="s">
        <v>139</v>
      </c>
      <c r="B10" s="8" t="n">
        <f aca="false">B6-B7-B8-B9</f>
        <v>0</v>
      </c>
      <c r="C10" s="25" t="n">
        <f aca="false">B10/$B$6</f>
        <v>0</v>
      </c>
      <c r="D10" s="12" t="s">
        <v>140</v>
      </c>
    </row>
    <row r="11" customFormat="false" ht="15" hidden="false" customHeight="true" outlineLevel="0" collapsed="false">
      <c r="A11" s="1" t="s">
        <v>141</v>
      </c>
      <c r="B11" s="8" t="n">
        <f aca="false">SUMIF(4_Besoins_Financiers!J:J,"*Crédit*",4_Besoins_Financiers!H:H)</f>
        <v>4270</v>
      </c>
      <c r="D11" s="1" t="s">
        <v>142</v>
      </c>
    </row>
    <row r="12" customFormat="false" ht="15" hidden="false" customHeight="true" outlineLevel="0" collapsed="false">
      <c r="A12" s="1" t="s">
        <v>143</v>
      </c>
      <c r="B12" s="8" t="n">
        <f aca="false">16_Tresorerie_Mensuelle!B21</f>
        <v>3274.85714285714</v>
      </c>
      <c r="D12" s="1" t="s">
        <v>144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145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146</v>
      </c>
      <c r="B4" s="4" t="s">
        <v>147</v>
      </c>
      <c r="C4" s="4" t="s">
        <v>148</v>
      </c>
      <c r="D4" s="4" t="s">
        <v>149</v>
      </c>
      <c r="E4" s="4" t="s">
        <v>132</v>
      </c>
      <c r="F4" s="4" t="s">
        <v>150</v>
      </c>
      <c r="G4" s="4" t="s">
        <v>151</v>
      </c>
      <c r="H4" s="4" t="s">
        <v>152</v>
      </c>
    </row>
    <row r="5" customFormat="false" ht="27.75" hidden="false" customHeight="true" outlineLevel="0" collapsed="false">
      <c r="A5" s="17" t="n">
        <v>1</v>
      </c>
      <c r="B5" s="17" t="s">
        <v>153</v>
      </c>
      <c r="C5" s="17" t="s">
        <v>154</v>
      </c>
      <c r="D5" s="17" t="s">
        <v>155</v>
      </c>
      <c r="E5" s="26" t="n">
        <f aca="false">SUMIF(4_Besoins_Financiers!I:I,"Préparation",4_Besoins_Financiers!H:H)</f>
        <v>730</v>
      </c>
      <c r="F5" s="17" t="s">
        <v>156</v>
      </c>
      <c r="G5" s="17" t="s">
        <v>157</v>
      </c>
      <c r="H5" s="17" t="s">
        <v>158</v>
      </c>
    </row>
    <row r="6" customFormat="false" ht="15" hidden="false" customHeight="true" outlineLevel="0" collapsed="false">
      <c r="A6" s="17" t="n">
        <v>2</v>
      </c>
      <c r="B6" s="17" t="s">
        <v>159</v>
      </c>
      <c r="C6" s="17" t="s">
        <v>160</v>
      </c>
      <c r="D6" s="17" t="s">
        <v>161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3810</v>
      </c>
      <c r="F6" s="17" t="s">
        <v>162</v>
      </c>
      <c r="G6" s="17" t="s">
        <v>163</v>
      </c>
      <c r="H6" s="17" t="s">
        <v>158</v>
      </c>
    </row>
    <row r="7" customFormat="false" ht="15" hidden="false" customHeight="true" outlineLevel="0" collapsed="false">
      <c r="A7" s="17" t="n">
        <v>3</v>
      </c>
      <c r="B7" s="17" t="s">
        <v>164</v>
      </c>
      <c r="C7" s="17" t="s">
        <v>165</v>
      </c>
      <c r="D7" s="17" t="s">
        <v>166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400</v>
      </c>
      <c r="F7" s="17" t="s">
        <v>162</v>
      </c>
      <c r="G7" s="17" t="s">
        <v>167</v>
      </c>
      <c r="H7" s="17" t="s">
        <v>158</v>
      </c>
    </row>
    <row r="8" customFormat="false" ht="15" hidden="false" customHeight="true" outlineLevel="0" collapsed="false">
      <c r="B8" s="4" t="s">
        <v>168</v>
      </c>
      <c r="E8" s="8" t="n">
        <f aca="false">SUM(E5:E7)</f>
        <v>4940</v>
      </c>
    </row>
    <row r="9" customFormat="false" ht="15" hidden="false" customHeight="true" outlineLevel="0" collapsed="false">
      <c r="B9" s="1" t="s">
        <v>169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170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171</v>
      </c>
      <c r="B2" s="7" t="n">
        <v>6</v>
      </c>
      <c r="C2" s="6" t="s">
        <v>54</v>
      </c>
      <c r="D2" s="27" t="n">
        <f aca="false">2_Identification_Projet!B8</f>
        <v>0.4</v>
      </c>
    </row>
    <row r="4" customFormat="false" ht="27.75" hidden="false" customHeight="true" outlineLevel="0" collapsed="false">
      <c r="A4" s="4" t="s">
        <v>172</v>
      </c>
      <c r="B4" s="4" t="s">
        <v>173</v>
      </c>
      <c r="C4" s="4" t="s">
        <v>68</v>
      </c>
      <c r="D4" s="4" t="s">
        <v>174</v>
      </c>
      <c r="E4" s="4" t="s">
        <v>175</v>
      </c>
      <c r="F4" s="4" t="s">
        <v>176</v>
      </c>
      <c r="G4" s="4" t="s">
        <v>177</v>
      </c>
      <c r="H4" s="4" t="s">
        <v>178</v>
      </c>
      <c r="I4" s="4" t="s">
        <v>179</v>
      </c>
      <c r="J4" s="4" t="s">
        <v>71</v>
      </c>
    </row>
    <row r="5" customFormat="false" ht="15" hidden="false" customHeight="true" outlineLevel="0" collapsed="false">
      <c r="A5" s="17" t="s">
        <v>180</v>
      </c>
      <c r="B5" s="27" t="n">
        <f aca="false">B2*D2</f>
        <v>2.4</v>
      </c>
      <c r="C5" s="17" t="s">
        <v>84</v>
      </c>
      <c r="D5" s="28" t="n">
        <v>0.05</v>
      </c>
      <c r="E5" s="16" t="n">
        <f aca="false">B5*(1-D5)</f>
        <v>2.28</v>
      </c>
      <c r="F5" s="29" t="n">
        <v>4000</v>
      </c>
      <c r="G5" s="26" t="n">
        <f aca="false">E5*F5</f>
        <v>9120</v>
      </c>
      <c r="H5" s="15" t="n">
        <v>7</v>
      </c>
      <c r="I5" s="15" t="s">
        <v>181</v>
      </c>
      <c r="J5" s="17" t="s">
        <v>182</v>
      </c>
    </row>
    <row r="6" customFormat="false" ht="15" hidden="false" customHeight="true" outlineLevel="0" collapsed="false">
      <c r="A6" s="17" t="s">
        <v>183</v>
      </c>
      <c r="B6" s="15" t="n">
        <v>0.2</v>
      </c>
      <c r="C6" s="17" t="s">
        <v>84</v>
      </c>
      <c r="D6" s="28" t="n">
        <v>0.03</v>
      </c>
      <c r="E6" s="16" t="n">
        <f aca="false">B6*(1-D6)</f>
        <v>0.194</v>
      </c>
      <c r="F6" s="29" t="n">
        <v>5000</v>
      </c>
      <c r="G6" s="26" t="n">
        <f aca="false">E6*F6</f>
        <v>970</v>
      </c>
      <c r="H6" s="15" t="n">
        <v>6</v>
      </c>
      <c r="I6" s="15" t="s">
        <v>184</v>
      </c>
      <c r="J6" s="17" t="s">
        <v>185</v>
      </c>
    </row>
    <row r="7" customFormat="false" ht="15" hidden="false" customHeight="true" outlineLevel="0" collapsed="false">
      <c r="A7" s="1" t="s">
        <v>186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187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188</v>
      </c>
      <c r="G9" s="23" t="n">
        <f aca="false">SUM(G5:G8)</f>
        <v>10090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189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132</v>
      </c>
      <c r="C4" s="4" t="s">
        <v>129</v>
      </c>
    </row>
    <row r="6" customFormat="false" ht="15" hidden="false" customHeight="true" outlineLevel="0" collapsed="false">
      <c r="A6" s="6" t="s">
        <v>190</v>
      </c>
      <c r="B6" s="8" t="n">
        <f aca="false">8_Previsions_Ventes!G9</f>
        <v>10090</v>
      </c>
      <c r="C6" s="12"/>
    </row>
    <row r="7" customFormat="false" ht="15" hidden="false" customHeight="true" outlineLevel="0" collapsed="false">
      <c r="A7" s="6" t="s">
        <v>191</v>
      </c>
      <c r="B7" s="8" t="n">
        <f aca="false">5_Synthese_Besoins!B13-5_Synthese_Besoins!B8-5_Synthese_Besoins!B12</f>
        <v>4160</v>
      </c>
      <c r="C7" s="12" t="s">
        <v>192</v>
      </c>
    </row>
    <row r="8" customFormat="false" ht="15" hidden="false" customHeight="true" outlineLevel="0" collapsed="false">
      <c r="A8" s="6" t="s">
        <v>193</v>
      </c>
      <c r="B8" s="8" t="n">
        <f aca="false">B6-B7</f>
        <v>5930</v>
      </c>
      <c r="C8" s="12"/>
    </row>
    <row r="9" customFormat="false" ht="15" hidden="false" customHeight="true" outlineLevel="0" collapsed="false">
      <c r="A9" s="6" t="s">
        <v>194</v>
      </c>
      <c r="B9" s="8" t="n">
        <f aca="false">10_Capacite_Remboursement!B9</f>
        <v>488.25</v>
      </c>
      <c r="C9" s="12"/>
    </row>
    <row r="10" customFormat="false" ht="15" hidden="false" customHeight="true" outlineLevel="0" collapsed="false">
      <c r="A10" s="6" t="s">
        <v>195</v>
      </c>
      <c r="B10" s="8" t="n">
        <f aca="false">B8-B9</f>
        <v>5441.75</v>
      </c>
      <c r="C10" s="12"/>
    </row>
    <row r="11" customFormat="false" ht="15" hidden="false" customHeight="true" outlineLevel="0" collapsed="false">
      <c r="A11" s="6" t="s">
        <v>196</v>
      </c>
      <c r="B11" s="24" t="n">
        <v>0</v>
      </c>
      <c r="C11" s="12" t="s">
        <v>185</v>
      </c>
    </row>
    <row r="12" customFormat="false" ht="15" hidden="false" customHeight="true" outlineLevel="0" collapsed="false">
      <c r="A12" s="6" t="s">
        <v>21</v>
      </c>
      <c r="B12" s="8" t="n">
        <f aca="false">B10-B11</f>
        <v>5441.75</v>
      </c>
      <c r="C12" s="12"/>
    </row>
    <row r="13" customFormat="false" ht="15" hidden="false" customHeight="true" outlineLevel="0" collapsed="false">
      <c r="A13" s="6" t="s">
        <v>197</v>
      </c>
      <c r="B13" s="25" t="n">
        <f aca="false">IFERROR(B12/B6,0)</f>
        <v>0.539321110009911</v>
      </c>
      <c r="C13" s="12"/>
    </row>
    <row r="15" customFormat="false" ht="15" hidden="false" customHeight="true" outlineLevel="0" collapsed="false">
      <c r="A15" s="1" t="s">
        <v>198</v>
      </c>
      <c r="B15" s="8" t="n">
        <f aca="false">5_Synthese_Besoins!B8</f>
        <v>580</v>
      </c>
      <c r="C15" s="1" t="s">
        <v>199</v>
      </c>
    </row>
    <row r="16" customFormat="false" ht="15" hidden="false" customHeight="true" outlineLevel="0" collapsed="false">
      <c r="A16" s="1" t="s">
        <v>200</v>
      </c>
      <c r="B16" s="8" t="n">
        <f aca="false">5_Synthese_Besoins!B12</f>
        <v>200</v>
      </c>
      <c r="C16" s="1" t="s">
        <v>201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202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203</v>
      </c>
      <c r="B4" s="4" t="s">
        <v>5</v>
      </c>
      <c r="C4" s="4" t="s">
        <v>129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4340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8</v>
      </c>
      <c r="C8" s="12"/>
    </row>
    <row r="9" customFormat="false" ht="15" hidden="false" customHeight="true" outlineLevel="0" collapsed="false">
      <c r="A9" s="6" t="s">
        <v>204</v>
      </c>
      <c r="B9" s="8" t="n">
        <f aca="false">11_Echeancier!D29</f>
        <v>488.25</v>
      </c>
      <c r="C9" s="12"/>
    </row>
    <row r="10" customFormat="false" ht="15" hidden="false" customHeight="true" outlineLevel="0" collapsed="false">
      <c r="A10" s="6" t="s">
        <v>205</v>
      </c>
      <c r="B10" s="8" t="n">
        <f aca="false">B6+B9</f>
        <v>4828.25</v>
      </c>
      <c r="C10" s="12"/>
    </row>
    <row r="11" customFormat="false" ht="15" hidden="false" customHeight="true" outlineLevel="0" collapsed="false">
      <c r="A11" s="6" t="s">
        <v>206</v>
      </c>
      <c r="B11" s="8" t="n">
        <f aca="false">9_Compte_Exploitation!B8</f>
        <v>5930</v>
      </c>
      <c r="C11" s="12"/>
    </row>
    <row r="12" customFormat="false" ht="15" hidden="false" customHeight="true" outlineLevel="0" collapsed="false">
      <c r="A12" s="6" t="s">
        <v>207</v>
      </c>
      <c r="B12" s="9" t="n">
        <f aca="false">IFERROR(B11/B10,0)</f>
        <v>1.22818826697043</v>
      </c>
      <c r="C12" s="12"/>
    </row>
    <row r="13" customFormat="false" ht="15" hidden="false" customHeight="true" outlineLevel="0" collapsed="false">
      <c r="A13" s="6" t="s">
        <v>208</v>
      </c>
      <c r="B13" s="25" t="n">
        <f aca="false">B11-B10</f>
        <v>1101.75</v>
      </c>
      <c r="C13" s="12"/>
    </row>
    <row r="14" customFormat="false" ht="15" hidden="false" customHeight="true" outlineLevel="0" collapsed="false">
      <c r="A14" s="6" t="s">
        <v>209</v>
      </c>
      <c r="B14" s="27" t="str">
        <f aca="false">IF(B12&gt;=1_Accueil_Parametres!B22,"Capacité satisfaisante",IF(B12&gt;=1,"Capacité limite — à sécuriser","Capacité insuffisante"))</f>
        <v>Capacité satisfaisante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6</v>
      </c>
      <c r="C15" s="1" t="s">
        <v>210</v>
      </c>
    </row>
    <row r="17" customFormat="false" ht="15" hidden="false" customHeight="true" outlineLevel="0" collapsed="false">
      <c r="A17" s="1" t="s">
        <v>211</v>
      </c>
      <c r="B17" s="11" t="n">
        <v>0.02</v>
      </c>
    </row>
    <row r="18" customFormat="false" ht="15" hidden="false" customHeight="true" outlineLevel="0" collapsed="false">
      <c r="A18" s="1" t="s">
        <v>212</v>
      </c>
      <c r="B18" s="11" t="n">
        <v>0.01</v>
      </c>
    </row>
    <row r="19" customFormat="false" ht="15" hidden="false" customHeight="true" outlineLevel="0" collapsed="false">
      <c r="A19" s="1" t="s">
        <v>213</v>
      </c>
      <c r="B19" s="8" t="n">
        <f aca="false">B6*(B17+B18)</f>
        <v>130.2</v>
      </c>
    </row>
    <row r="20" customFormat="false" ht="15" hidden="false" customHeight="true" outlineLevel="0" collapsed="false">
      <c r="A20" s="1" t="s">
        <v>214</v>
      </c>
      <c r="B20" s="8" t="n">
        <f aca="false">B9+B19</f>
        <v>618.45</v>
      </c>
    </row>
    <row r="21" customFormat="false" ht="15" hidden="false" customHeight="true" outlineLevel="0" collapsed="false">
      <c r="A21" s="1" t="s">
        <v>215</v>
      </c>
      <c r="B21" s="25" t="n">
        <f aca="false">IFERROR(B20/B6*12/B8,0)</f>
        <v>0.21375</v>
      </c>
      <c r="C21" s="1" t="s">
        <v>216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217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218</v>
      </c>
    </row>
    <row r="4" customFormat="false" ht="27.75" hidden="false" customHeight="true" outlineLevel="0" collapsed="false">
      <c r="A4" s="4" t="s">
        <v>219</v>
      </c>
      <c r="B4" s="4" t="s">
        <v>220</v>
      </c>
      <c r="C4" s="4" t="s">
        <v>221</v>
      </c>
      <c r="D4" s="4" t="s">
        <v>222</v>
      </c>
      <c r="E4" s="4" t="s">
        <v>223</v>
      </c>
      <c r="F4" s="4" t="s">
        <v>224</v>
      </c>
      <c r="G4" s="4" t="s">
        <v>225</v>
      </c>
      <c r="H4" s="4" t="s">
        <v>226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4340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4340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4340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4340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4340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0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0</v>
      </c>
      <c r="E10" s="8" t="n">
        <f aca="false">C10+D10</f>
        <v>0</v>
      </c>
      <c r="F10" s="8" t="n">
        <f aca="false">F9-C10</f>
        <v>4340</v>
      </c>
      <c r="G10" s="12" t="str">
        <f aca="false">IF(A10&gt;1_Accueil_Parametres!$B$17,"—",IF(A10&lt;=1_Accueil_Parametres!$B$20,"Différé — intérêts capitalisés","Ventes du cycle"))</f>
        <v>Différé — intérêts capitalisés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2170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455.7</v>
      </c>
      <c r="E11" s="8" t="n">
        <f aca="false">C11+D11</f>
        <v>2625.7</v>
      </c>
      <c r="F11" s="8" t="n">
        <f aca="false">F10-C11</f>
        <v>2170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2170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32.55</v>
      </c>
      <c r="E12" s="8" t="n">
        <f aca="false">C12+D12</f>
        <v>2202.55</v>
      </c>
      <c r="F12" s="8" t="n">
        <f aca="false">F11-C12</f>
        <v>0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0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0</v>
      </c>
      <c r="E13" s="33" t="n">
        <f aca="false">C13+D13</f>
        <v>0</v>
      </c>
      <c r="F13" s="33" t="n">
        <f aca="false">F12-C13</f>
        <v>0</v>
      </c>
      <c r="G13" s="1" t="str">
        <f aca="false">IF(A13&gt;1_Accueil_Parametres!$B$17,"—",IF(A13&lt;=1_Accueil_Parametres!$B$20,"Différé — intérêts capitalisés","Ventes du cycle"))</f>
        <v>—</v>
      </c>
      <c r="H13" s="1" t="str">
        <f aca="false">IF(A13&gt;1_Accueil_Parametres!$B$17,"—","Prévu")</f>
        <v>—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0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0</v>
      </c>
      <c r="E14" s="33" t="n">
        <f aca="false">C14+D14</f>
        <v>0</v>
      </c>
      <c r="F14" s="33" t="n">
        <f aca="false">F13-C14</f>
        <v>0</v>
      </c>
      <c r="G14" s="1" t="str">
        <f aca="false">IF(A14&gt;1_Accueil_Parametres!$B$17,"—",IF(A14&lt;=1_Accueil_Parametres!$B$20,"Différé — intérêts capitalisés","Ventes du cycle"))</f>
        <v>—</v>
      </c>
      <c r="H14" s="1" t="str">
        <f aca="false">IF(A14&gt;1_Accueil_Parametres!$B$17,"—","Prévu")</f>
        <v>—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0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0</v>
      </c>
      <c r="E15" s="33" t="n">
        <f aca="false">C15+D15</f>
        <v>0</v>
      </c>
      <c r="F15" s="33" t="n">
        <f aca="false">F14-C15</f>
        <v>0</v>
      </c>
      <c r="G15" s="1" t="str">
        <f aca="false">IF(A15&gt;1_Accueil_Parametres!$B$17,"—",IF(A15&lt;=1_Accueil_Parametres!$B$20,"Différé — intérêts capitalisés","Ventes du cycle"))</f>
        <v>—</v>
      </c>
      <c r="H15" s="1" t="str">
        <f aca="false">IF(A15&gt;1_Accueil_Parametres!$B$17,"—","Prévu")</f>
        <v>—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0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0</v>
      </c>
      <c r="E16" s="33" t="n">
        <f aca="false">C16+D16</f>
        <v>0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—</v>
      </c>
      <c r="H16" s="1" t="str">
        <f aca="false">IF(A16&gt;1_Accueil_Parametres!$B$17,"—","Prévu")</f>
        <v>—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227</v>
      </c>
      <c r="C29" s="8" t="n">
        <f aca="false">SUM(C5:C28)</f>
        <v>4340</v>
      </c>
      <c r="D29" s="8" t="n">
        <f aca="false">SUM(D5:D28)</f>
        <v>488.25</v>
      </c>
      <c r="E29" s="8" t="n">
        <f aca="false">SUM(E5:E28)</f>
        <v>4828.25</v>
      </c>
      <c r="G29" s="1" t="s">
        <v>228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229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230</v>
      </c>
      <c r="B4" s="4" t="s">
        <v>231</v>
      </c>
      <c r="C4" s="4" t="s">
        <v>232</v>
      </c>
      <c r="D4" s="4" t="s">
        <v>233</v>
      </c>
    </row>
    <row r="5" customFormat="false" ht="15" hidden="false" customHeight="true" outlineLevel="0" collapsed="false">
      <c r="A5" s="6" t="s">
        <v>234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235</v>
      </c>
      <c r="B6" s="35" t="n">
        <v>0.2</v>
      </c>
      <c r="C6" s="36" t="n">
        <f aca="false">MAX(0,MIN(100,(10_Capacite_Remboursement!B12-0.8)/0.8*100))</f>
        <v>53.5235333713043</v>
      </c>
      <c r="D6" s="36" t="n">
        <f aca="false">B6*C6</f>
        <v>10.7047066742609</v>
      </c>
    </row>
    <row r="7" customFormat="false" ht="15" hidden="false" customHeight="true" outlineLevel="0" collapsed="false">
      <c r="A7" s="6" t="s">
        <v>236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237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238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239</v>
      </c>
      <c r="B10" s="37" t="n">
        <f aca="false">SUM(B5:B9)</f>
        <v>1</v>
      </c>
      <c r="C10" s="12"/>
      <c r="D10" s="36" t="n">
        <f aca="false">SUM(D5:D9)</f>
        <v>61.5380400075942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240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241</v>
      </c>
      <c r="B12" s="37" t="n">
        <f aca="false">15_Garanties_Collateraux!B14</f>
        <v>2.69155491119971</v>
      </c>
      <c r="C12" s="1" t="s">
        <v>242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243</v>
      </c>
    </row>
    <row r="2" customFormat="false" ht="15" hidden="false" customHeight="true" outlineLevel="0" collapsed="false">
      <c r="A2" s="1" t="s">
        <v>244</v>
      </c>
    </row>
    <row r="4" customFormat="false" ht="27.75" hidden="false" customHeight="true" outlineLevel="0" collapsed="false">
      <c r="A4" s="4" t="s">
        <v>89</v>
      </c>
      <c r="B4" s="4" t="s">
        <v>245</v>
      </c>
      <c r="C4" s="4" t="s">
        <v>246</v>
      </c>
      <c r="D4" s="4" t="s">
        <v>247</v>
      </c>
      <c r="E4" s="4" t="s">
        <v>248</v>
      </c>
      <c r="F4" s="4" t="s">
        <v>249</v>
      </c>
      <c r="G4" s="4" t="s">
        <v>250</v>
      </c>
      <c r="H4" s="4" t="s">
        <v>251</v>
      </c>
      <c r="I4" s="4" t="s">
        <v>252</v>
      </c>
      <c r="J4" s="4" t="s">
        <v>253</v>
      </c>
    </row>
    <row r="5" customFormat="false" ht="15" hidden="false" customHeight="true" outlineLevel="0" collapsed="false">
      <c r="A5" s="1" t="n">
        <v>1</v>
      </c>
      <c r="B5" s="7" t="s">
        <v>254</v>
      </c>
      <c r="C5" s="7" t="s">
        <v>255</v>
      </c>
      <c r="D5" s="7" t="s">
        <v>256</v>
      </c>
      <c r="E5" s="39" t="n">
        <v>5500</v>
      </c>
      <c r="F5" s="35" t="n">
        <v>0.3</v>
      </c>
      <c r="G5" s="8" t="n">
        <f aca="false">E5*(1-F5)</f>
        <v>3850</v>
      </c>
      <c r="H5" s="7" t="s">
        <v>257</v>
      </c>
      <c r="I5" s="7" t="s">
        <v>258</v>
      </c>
      <c r="J5" s="7"/>
    </row>
    <row r="6" customFormat="false" ht="15" hidden="false" customHeight="true" outlineLevel="0" collapsed="false">
      <c r="A6" s="1" t="n">
        <v>2</v>
      </c>
      <c r="B6" s="7" t="s">
        <v>259</v>
      </c>
      <c r="C6" s="7" t="s">
        <v>260</v>
      </c>
      <c r="D6" s="7" t="s">
        <v>256</v>
      </c>
      <c r="E6" s="39" t="n">
        <v>5000</v>
      </c>
      <c r="F6" s="35" t="n">
        <v>0.4</v>
      </c>
      <c r="G6" s="8" t="n">
        <f aca="false">E6*(1-F6)</f>
        <v>3000</v>
      </c>
      <c r="H6" s="7" t="s">
        <v>261</v>
      </c>
      <c r="I6" s="7" t="s">
        <v>262</v>
      </c>
      <c r="J6" s="7"/>
    </row>
    <row r="7" customFormat="false" ht="15" hidden="false" customHeight="true" outlineLevel="0" collapsed="false">
      <c r="A7" s="1" t="n">
        <v>3</v>
      </c>
      <c r="B7" s="7" t="s">
        <v>263</v>
      </c>
      <c r="C7" s="7" t="s">
        <v>264</v>
      </c>
      <c r="D7" s="7" t="s">
        <v>265</v>
      </c>
      <c r="E7" s="39" t="n">
        <v>2000</v>
      </c>
      <c r="F7" s="35" t="n">
        <v>0.5</v>
      </c>
      <c r="G7" s="8" t="n">
        <f aca="false">E7*(1-F7)</f>
        <v>1000</v>
      </c>
      <c r="H7" s="7" t="s">
        <v>266</v>
      </c>
      <c r="I7" s="7" t="s">
        <v>267</v>
      </c>
      <c r="J7" s="7"/>
    </row>
    <row r="8" customFormat="false" ht="15" hidden="false" customHeight="true" outlineLevel="0" collapsed="false">
      <c r="A8" s="1" t="n">
        <v>4</v>
      </c>
      <c r="B8" s="7" t="s">
        <v>268</v>
      </c>
      <c r="C8" s="7" t="s">
        <v>269</v>
      </c>
      <c r="D8" s="7" t="s">
        <v>256</v>
      </c>
      <c r="E8" s="39" t="n">
        <v>210</v>
      </c>
      <c r="F8" s="35" t="n">
        <v>0.5</v>
      </c>
      <c r="G8" s="8" t="n">
        <f aca="false">E8*(1-F8)</f>
        <v>105</v>
      </c>
      <c r="H8" s="7" t="s">
        <v>270</v>
      </c>
      <c r="I8" s="7" t="s">
        <v>271</v>
      </c>
      <c r="J8" s="7"/>
    </row>
    <row r="9" customFormat="false" ht="15" hidden="false" customHeight="true" outlineLevel="0" collapsed="false">
      <c r="A9" s="1" t="n">
        <v>5</v>
      </c>
      <c r="B9" s="7" t="s">
        <v>272</v>
      </c>
      <c r="C9" s="7" t="s">
        <v>273</v>
      </c>
      <c r="D9" s="7" t="s">
        <v>256</v>
      </c>
      <c r="E9" s="39" t="n">
        <v>500</v>
      </c>
      <c r="F9" s="35" t="n">
        <v>0</v>
      </c>
      <c r="G9" s="8" t="n">
        <f aca="false">E9*(1-F9)</f>
        <v>500</v>
      </c>
      <c r="H9" s="7" t="s">
        <v>274</v>
      </c>
      <c r="I9" s="7" t="s">
        <v>275</v>
      </c>
      <c r="J9" s="7"/>
    </row>
    <row r="10" customFormat="false" ht="15" hidden="false" customHeight="true" outlineLevel="0" collapsed="false">
      <c r="A10" s="1" t="n">
        <v>6</v>
      </c>
      <c r="B10" s="7" t="s">
        <v>276</v>
      </c>
      <c r="C10" s="7" t="s">
        <v>277</v>
      </c>
      <c r="D10" s="7" t="s">
        <v>278</v>
      </c>
      <c r="E10" s="39" t="n">
        <f aca="false">8_Previsions_Ventes!G9*0.5</f>
        <v>5045</v>
      </c>
      <c r="F10" s="35" t="n">
        <v>0.1</v>
      </c>
      <c r="G10" s="8" t="n">
        <f aca="false">E10*(1-F10)</f>
        <v>4540.5</v>
      </c>
      <c r="H10" s="7" t="s">
        <v>279</v>
      </c>
      <c r="I10" s="7" t="s">
        <v>280</v>
      </c>
      <c r="J10" s="7"/>
    </row>
    <row r="11" customFormat="false" ht="15" hidden="false" customHeight="true" outlineLevel="0" collapsed="false">
      <c r="B11" s="4" t="s">
        <v>227</v>
      </c>
      <c r="E11" s="8" t="n">
        <f aca="false">SUM(E5:E10)</f>
        <v>18255</v>
      </c>
      <c r="G11" s="8" t="n">
        <f aca="false">SUM(G5:G10)</f>
        <v>12995.5</v>
      </c>
    </row>
    <row r="13" customFormat="false" ht="15" hidden="false" customHeight="true" outlineLevel="0" collapsed="false">
      <c r="A13" s="6" t="s">
        <v>205</v>
      </c>
      <c r="B13" s="8" t="n">
        <f aca="false">10_Capacite_Remboursement!B10</f>
        <v>4828.25</v>
      </c>
    </row>
    <row r="14" customFormat="false" ht="15" hidden="false" customHeight="true" outlineLevel="0" collapsed="false">
      <c r="A14" s="6" t="s">
        <v>281</v>
      </c>
      <c r="B14" s="37" t="n">
        <f aca="false">IFERROR(G11/B13,0)</f>
        <v>2.69155491119971</v>
      </c>
    </row>
    <row r="15" customFormat="false" ht="15" hidden="false" customHeight="true" outlineLevel="0" collapsed="false">
      <c r="A15" s="6" t="s">
        <v>282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283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284</v>
      </c>
    </row>
    <row r="2" customFormat="false" ht="15" hidden="false" customHeight="true" outlineLevel="0" collapsed="false">
      <c r="A2" s="1" t="s">
        <v>285</v>
      </c>
    </row>
    <row r="4" customFormat="false" ht="27.75" hidden="false" customHeight="true" outlineLevel="0" collapsed="false">
      <c r="A4" s="4" t="s">
        <v>149</v>
      </c>
      <c r="B4" s="4" t="s">
        <v>286</v>
      </c>
      <c r="C4" s="4" t="s">
        <v>287</v>
      </c>
      <c r="D4" s="4" t="s">
        <v>288</v>
      </c>
      <c r="E4" s="4" t="s">
        <v>289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730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730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960</v>
      </c>
      <c r="C6" s="1" t="n">
        <f aca="false">3_Parametres_Techniques!B6</f>
        <v>1</v>
      </c>
      <c r="D6" s="1" t="n">
        <f aca="false">3_Parametres_Techniques!C6</f>
        <v>1</v>
      </c>
      <c r="E6" s="8" t="n">
        <f aca="false">IF(D6&gt;=C6,B6/(D6-C6+1),0)</f>
        <v>960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1740</v>
      </c>
      <c r="C7" s="1" t="n">
        <f aca="false">3_Parametres_Techniques!B7</f>
        <v>2</v>
      </c>
      <c r="D7" s="1" t="n">
        <f aca="false">3_Parametres_Techniques!C7</f>
        <v>6</v>
      </c>
      <c r="E7" s="8" t="n">
        <f aca="false">IF(D7&gt;=C7,B7/(D7-C7+1),0)</f>
        <v>348</v>
      </c>
    </row>
    <row r="8" customFormat="false" ht="15" hidden="false" customHeight="true" outlineLevel="0" collapsed="false">
      <c r="A8" s="1" t="s">
        <v>290</v>
      </c>
      <c r="B8" s="8" t="n">
        <f aca="false">SUMIF(4_Besoins_Financiers!I:I,A8,4_Besoins_Financiers!H:H)</f>
        <v>0</v>
      </c>
      <c r="C8" s="1" t="n">
        <f aca="false">3_Parametres_Techniques!B7</f>
        <v>2</v>
      </c>
      <c r="D8" s="1" t="n">
        <f aca="false">3_Parametres_Techniques!C7</f>
        <v>6</v>
      </c>
      <c r="E8" s="8" t="n">
        <f aca="false">IF(D8&gt;=C8,B8/(D8-C8+1),0)</f>
        <v>0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200</v>
      </c>
      <c r="C9" s="1" t="n">
        <f aca="false">3_Parametres_Techniques!B8</f>
        <v>6</v>
      </c>
      <c r="D9" s="1" t="n">
        <f aca="false">3_Parametres_Techniques!C8</f>
        <v>7</v>
      </c>
      <c r="E9" s="8" t="n">
        <f aca="false">IF(D9&gt;=C9,B9/(D9-C9+1),0)</f>
        <v>100</v>
      </c>
    </row>
    <row r="10" customFormat="false" ht="15" hidden="false" customHeight="true" outlineLevel="0" collapsed="false">
      <c r="A10" s="1" t="s">
        <v>291</v>
      </c>
      <c r="B10" s="8" t="n">
        <f aca="false">SUMIF(4_Besoins_Financiers!I:I,A10,4_Besoins_Financiers!H:H)</f>
        <v>0</v>
      </c>
      <c r="C10" s="1" t="n">
        <f aca="false">3_Parametres_Techniques!B9</f>
        <v>6</v>
      </c>
      <c r="D10" s="1" t="n">
        <f aca="false">3_Parametres_Techniques!C9</f>
        <v>7</v>
      </c>
      <c r="E10" s="8" t="n">
        <f aca="false">IF(D10&gt;=C10,B10/(D10-C10+1),0)</f>
        <v>0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200</v>
      </c>
      <c r="C11" s="1" t="n">
        <f aca="false">3_Parametres_Techniques!B10</f>
        <v>6</v>
      </c>
      <c r="D11" s="1" t="n">
        <f aca="false">3_Parametres_Techniques!C10</f>
        <v>7</v>
      </c>
      <c r="E11" s="8" t="n">
        <f aca="false">IF(D11&gt;=C11,B11/(D11-C11+1),0)</f>
        <v>100</v>
      </c>
    </row>
    <row r="12" customFormat="false" ht="15" hidden="false" customHeight="true" outlineLevel="0" collapsed="false">
      <c r="A12" s="1" t="s">
        <v>109</v>
      </c>
      <c r="B12" s="8" t="n">
        <f aca="false">SUMIF(4_Besoins_Financiers!I:I,A12,4_Besoins_Financiers!H:H)</f>
        <v>1110</v>
      </c>
      <c r="C12" s="1" t="n">
        <f aca="false">1</f>
        <v>1</v>
      </c>
      <c r="D12" s="1" t="n">
        <f aca="false">1_Accueil_Parametres!B15</f>
        <v>7</v>
      </c>
      <c r="E12" s="8" t="n">
        <f aca="false">IF(D12&gt;=C12,B12/(D12-C12+1),0)</f>
        <v>158.571428571429</v>
      </c>
    </row>
    <row r="14" customFormat="false" ht="15" hidden="false" customHeight="true" outlineLevel="0" collapsed="false">
      <c r="A14" s="4" t="s">
        <v>292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293</v>
      </c>
      <c r="B15" s="8" t="n">
        <f aca="false">SUMPRODUCT(($C$5:$C$12&lt;=B$14)*($D$5:$D$12&gt;=B$14)*$E$5:$E$12)</f>
        <v>1848.57142857143</v>
      </c>
      <c r="C15" s="8" t="n">
        <f aca="false">SUMPRODUCT(($C$5:$C$12&lt;=C$14)*($D$5:$D$12&gt;=C$14)*$E$5:$E$12)</f>
        <v>506.571428571429</v>
      </c>
      <c r="D15" s="8" t="n">
        <f aca="false">SUMPRODUCT(($C$5:$C$12&lt;=D$14)*($D$5:$D$12&gt;=D$14)*$E$5:$E$12)</f>
        <v>506.571428571429</v>
      </c>
      <c r="E15" s="8" t="n">
        <f aca="false">SUMPRODUCT(($C$5:$C$12&lt;=E$14)*($D$5:$D$12&gt;=E$14)*$E$5:$E$12)</f>
        <v>506.571428571429</v>
      </c>
      <c r="F15" s="8" t="n">
        <f aca="false">SUMPRODUCT(($C$5:$C$12&lt;=F$14)*($D$5:$D$12&gt;=F$14)*$E$5:$E$12)</f>
        <v>506.571428571429</v>
      </c>
      <c r="G15" s="8" t="n">
        <f aca="false">SUMPRODUCT(($C$5:$C$12&lt;=G$14)*($D$5:$D$12&gt;=G$14)*$E$5:$E$12)</f>
        <v>706.571428571429</v>
      </c>
      <c r="H15" s="8" t="n">
        <f aca="false">SUMPRODUCT(($C$5:$C$12&lt;=H$14)*($D$5:$D$12&gt;=H$14)*$E$5:$E$12)</f>
        <v>358.571428571429</v>
      </c>
      <c r="I15" s="8" t="n">
        <f aca="false">SUMPRODUCT(($C$5:$C$12&lt;=I$14)*($D$5:$D$12&gt;=I$14)*$E$5:$E$12)</f>
        <v>0</v>
      </c>
      <c r="J15" s="8" t="n">
        <f aca="false">SUMPRODUCT(($C$5:$C$12&lt;=J$14)*($D$5:$D$12&gt;=J$14)*$E$5:$E$12)</f>
        <v>0</v>
      </c>
      <c r="K15" s="8" t="n">
        <f aca="false">SUMPRODUCT(($C$5:$C$12&lt;=K$14)*($D$5:$D$12&gt;=K$14)*$E$5:$E$12)</f>
        <v>0</v>
      </c>
      <c r="L15" s="8" t="n">
        <f aca="false">SUMPRODUCT(($C$5:$C$12&lt;=L$14)*($D$5:$D$12&gt;=L$14)*$E$5:$E$12)</f>
        <v>0</v>
      </c>
      <c r="M15" s="8" t="n">
        <f aca="false">SUMPRODUCT(($C$5:$C$12&lt;=M$14)*($D$5:$D$12&gt;=M$14)*$E$5:$E$12)</f>
        <v>0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294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970</v>
      </c>
      <c r="H16" s="8" t="n">
        <f aca="false">SUMIF(8_Previsions_Ventes!$H$5:$H$8,H$14,8_Previsions_Ventes!$G$5:$G$8)</f>
        <v>9120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295</v>
      </c>
      <c r="B17" s="8" t="n">
        <f aca="false">IF(B$14=1,6_Plan_Financement!$B$7,0)</f>
        <v>600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296</v>
      </c>
      <c r="B18" s="8" t="n">
        <f aca="false">B16+B17-B15</f>
        <v>-1248.57142857143</v>
      </c>
      <c r="C18" s="8" t="n">
        <f aca="false">C16+C17-C15</f>
        <v>-506.571428571429</v>
      </c>
      <c r="D18" s="8" t="n">
        <f aca="false">D16+D17-D15</f>
        <v>-506.571428571429</v>
      </c>
      <c r="E18" s="8" t="n">
        <f aca="false">E16+E17-E15</f>
        <v>-506.571428571429</v>
      </c>
      <c r="F18" s="8" t="n">
        <f aca="false">F16+F17-F15</f>
        <v>-506.571428571429</v>
      </c>
      <c r="G18" s="8" t="n">
        <f aca="false">G16+G17-G15</f>
        <v>263.428571428571</v>
      </c>
      <c r="H18" s="8" t="n">
        <f aca="false">H16+H17-H15</f>
        <v>8761.42857142857</v>
      </c>
      <c r="I18" s="8" t="n">
        <f aca="false">I16+I17-I15</f>
        <v>0</v>
      </c>
      <c r="J18" s="8" t="n">
        <f aca="false">J16+J17-J15</f>
        <v>0</v>
      </c>
      <c r="K18" s="8" t="n">
        <f aca="false">K16+K17-K15</f>
        <v>0</v>
      </c>
      <c r="L18" s="8" t="n">
        <f aca="false">L16+L17-L15</f>
        <v>0</v>
      </c>
      <c r="M18" s="8" t="n">
        <f aca="false">M16+M17-M15</f>
        <v>0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297</v>
      </c>
      <c r="B19" s="8" t="n">
        <f aca="false">B18</f>
        <v>-1248.57142857143</v>
      </c>
      <c r="C19" s="8" t="n">
        <f aca="false">B19+C18</f>
        <v>-1755.14285714286</v>
      </c>
      <c r="D19" s="8" t="n">
        <f aca="false">C19+D18</f>
        <v>-2261.71428571429</v>
      </c>
      <c r="E19" s="8" t="n">
        <f aca="false">D19+E18</f>
        <v>-2768.28571428571</v>
      </c>
      <c r="F19" s="8" t="n">
        <f aca="false">E19+F18</f>
        <v>-3274.85714285714</v>
      </c>
      <c r="G19" s="8" t="n">
        <f aca="false">F19+G18</f>
        <v>-3011.42857142857</v>
      </c>
      <c r="H19" s="8" t="n">
        <f aca="false">G19+H18</f>
        <v>5750</v>
      </c>
      <c r="I19" s="8" t="n">
        <f aca="false">H19+I18</f>
        <v>5750</v>
      </c>
      <c r="J19" s="8" t="n">
        <f aca="false">I19+J18</f>
        <v>5750</v>
      </c>
      <c r="K19" s="8" t="n">
        <f aca="false">J19+K18</f>
        <v>5750</v>
      </c>
      <c r="L19" s="8" t="n">
        <f aca="false">K19+L18</f>
        <v>5750</v>
      </c>
      <c r="M19" s="8" t="n">
        <f aca="false">L19+M18</f>
        <v>5750</v>
      </c>
      <c r="N19" s="8" t="n">
        <f aca="false">M19+N18</f>
        <v>5750</v>
      </c>
      <c r="O19" s="8" t="n">
        <f aca="false">N19+O18</f>
        <v>5750</v>
      </c>
      <c r="P19" s="8" t="n">
        <f aca="false">O19+P18</f>
        <v>5750</v>
      </c>
      <c r="Q19" s="8" t="n">
        <f aca="false">P19+Q18</f>
        <v>5750</v>
      </c>
      <c r="R19" s="8" t="n">
        <f aca="false">Q19+R18</f>
        <v>5750</v>
      </c>
      <c r="S19" s="8" t="n">
        <f aca="false">R19+S18</f>
        <v>5750</v>
      </c>
    </row>
    <row r="21" customFormat="false" ht="15" hidden="false" customHeight="true" outlineLevel="0" collapsed="false">
      <c r="A21" s="6" t="s">
        <v>298</v>
      </c>
      <c r="B21" s="8" t="n">
        <f aca="false">MAX(0,-MIN(B19:S19))</f>
        <v>3274.85714285714</v>
      </c>
    </row>
    <row r="22" customFormat="false" ht="15" hidden="false" customHeight="true" outlineLevel="0" collapsed="false">
      <c r="A22" s="1" t="s">
        <v>299</v>
      </c>
      <c r="B22" s="8" t="n">
        <f aca="false">6_Plan_Financement!B8</f>
        <v>4340</v>
      </c>
    </row>
    <row r="23" customFormat="false" ht="15" hidden="false" customHeight="true" outlineLevel="0" collapsed="false">
      <c r="A23" s="1" t="s">
        <v>300</v>
      </c>
      <c r="B23" s="8" t="n">
        <f aca="false">MAX(0,B22-B21)</f>
        <v>1065.14285714286</v>
      </c>
    </row>
    <row r="24" customFormat="false" ht="15" hidden="false" customHeight="true" outlineLevel="0" collapsed="false">
      <c r="A24" s="1" t="s">
        <v>301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302</v>
      </c>
    </row>
    <row r="2" customFormat="false" ht="15" hidden="false" customHeight="true" outlineLevel="0" collapsed="false">
      <c r="A2" s="1" t="s">
        <v>303</v>
      </c>
    </row>
    <row r="4" customFormat="false" ht="15" hidden="false" customHeight="true" outlineLevel="0" collapsed="false">
      <c r="A4" s="4" t="s">
        <v>304</v>
      </c>
      <c r="B4" s="4" t="s">
        <v>305</v>
      </c>
    </row>
    <row r="5" customFormat="false" ht="15" hidden="false" customHeight="true" outlineLevel="0" collapsed="false">
      <c r="A5" s="1" t="s">
        <v>306</v>
      </c>
      <c r="B5" s="35" t="n">
        <v>0.2</v>
      </c>
    </row>
    <row r="6" customFormat="false" ht="15" hidden="false" customHeight="true" outlineLevel="0" collapsed="false">
      <c r="A6" s="1" t="s">
        <v>307</v>
      </c>
      <c r="B6" s="35" t="n">
        <v>0.15</v>
      </c>
    </row>
    <row r="7" customFormat="false" ht="15" hidden="false" customHeight="true" outlineLevel="0" collapsed="false">
      <c r="A7" s="1" t="s">
        <v>308</v>
      </c>
      <c r="B7" s="35" t="n">
        <v>0.1</v>
      </c>
    </row>
    <row r="9" customFormat="false" ht="27.75" hidden="false" customHeight="true" outlineLevel="0" collapsed="false">
      <c r="A9" s="4" t="s">
        <v>309</v>
      </c>
      <c r="B9" s="4" t="s">
        <v>310</v>
      </c>
      <c r="C9" s="4" t="s">
        <v>311</v>
      </c>
      <c r="D9" s="4" t="s">
        <v>312</v>
      </c>
      <c r="E9" s="4" t="s">
        <v>313</v>
      </c>
      <c r="F9" s="4" t="s">
        <v>314</v>
      </c>
      <c r="G9" s="4" t="s">
        <v>315</v>
      </c>
    </row>
    <row r="10" customFormat="false" ht="15" hidden="false" customHeight="true" outlineLevel="0" collapsed="false">
      <c r="A10" s="1" t="s">
        <v>316</v>
      </c>
      <c r="B10" s="8" t="n">
        <f aca="false">8_Previsions_Ventes!G9</f>
        <v>10090</v>
      </c>
      <c r="C10" s="8" t="n">
        <f aca="false">9_Compte_Exploitation!B7</f>
        <v>4160</v>
      </c>
      <c r="D10" s="8" t="n">
        <f aca="false">B10-C10</f>
        <v>5930</v>
      </c>
      <c r="E10" s="8" t="n">
        <f aca="false">10_Capacite_Remboursement!B10</f>
        <v>4828.25</v>
      </c>
      <c r="F10" s="40" t="n">
        <f aca="false">IFERROR(D10/E10,0)</f>
        <v>1.22818826697043</v>
      </c>
      <c r="G10" s="1" t="str">
        <f aca="false">IF(F10&gt;=1.2,"OK",IF(F10&gt;=1,"Limite","Fragile"))</f>
        <v>OK</v>
      </c>
    </row>
    <row r="11" customFormat="false" ht="15" hidden="false" customHeight="true" outlineLevel="0" collapsed="false">
      <c r="A11" s="1" t="s">
        <v>317</v>
      </c>
      <c r="B11" s="8" t="n">
        <f aca="false">8_Previsions_Ventes!G9*(1-$B$5)</f>
        <v>8072</v>
      </c>
      <c r="C11" s="8" t="n">
        <f aca="false">$C$10</f>
        <v>4160</v>
      </c>
      <c r="D11" s="8" t="n">
        <f aca="false">B11-C11</f>
        <v>3912</v>
      </c>
      <c r="E11" s="8" t="n">
        <f aca="false">10_Capacite_Remboursement!B10</f>
        <v>4828.25</v>
      </c>
      <c r="F11" s="40" t="n">
        <f aca="false">IFERROR(D11/E11,0)</f>
        <v>0.810231450318439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318</v>
      </c>
      <c r="B12" s="8" t="n">
        <f aca="false">8_Previsions_Ventes!G9*(1-$B$6)</f>
        <v>8576.5</v>
      </c>
      <c r="C12" s="8" t="n">
        <f aca="false">$C$10</f>
        <v>4160</v>
      </c>
      <c r="D12" s="8" t="n">
        <f aca="false">B12-C12</f>
        <v>4416.5</v>
      </c>
      <c r="E12" s="8" t="n">
        <f aca="false">10_Capacite_Remboursement!B10</f>
        <v>4828.25</v>
      </c>
      <c r="F12" s="40" t="n">
        <f aca="false">IFERROR(D12/E12,0)</f>
        <v>0.914720654481438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319</v>
      </c>
      <c r="B13" s="8" t="n">
        <f aca="false">$B$10</f>
        <v>10090</v>
      </c>
      <c r="C13" s="8" t="n">
        <f aca="false">9_Compte_Exploitation!B7*(1+$B$7)</f>
        <v>4576</v>
      </c>
      <c r="D13" s="8" t="n">
        <f aca="false">B13-C13</f>
        <v>5514</v>
      </c>
      <c r="E13" s="8" t="n">
        <f aca="false">10_Capacite_Remboursement!B10</f>
        <v>4828.25</v>
      </c>
      <c r="F13" s="40" t="n">
        <f aca="false">IFERROR(D13/E13,0)</f>
        <v>1.14202868534148</v>
      </c>
      <c r="G13" s="1" t="str">
        <f aca="false">IF(F13&gt;=1.2,"OK",IF(F13&gt;=1,"Limite","Fragile"))</f>
        <v>Limite</v>
      </c>
    </row>
    <row r="14" customFormat="false" ht="15" hidden="false" customHeight="true" outlineLevel="0" collapsed="false">
      <c r="A14" s="1" t="s">
        <v>320</v>
      </c>
      <c r="B14" s="8" t="n">
        <f aca="false">8_Previsions_Ventes!G9*(1-$B$5)*(1-$B$6)</f>
        <v>6861.2</v>
      </c>
      <c r="C14" s="8" t="n">
        <f aca="false">9_Compte_Exploitation!B7*(1+$B$7)</f>
        <v>4576</v>
      </c>
      <c r="D14" s="8" t="n">
        <f aca="false">B14-C14</f>
        <v>2285.2</v>
      </c>
      <c r="E14" s="8" t="n">
        <f aca="false">10_Capacite_Remboursement!B10</f>
        <v>4828.25</v>
      </c>
      <c r="F14" s="40" t="n">
        <f aca="false">IFERROR(D14/E14,0)</f>
        <v>0.473297778698287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321</v>
      </c>
      <c r="B16" s="9" t="n">
        <f aca="false">MIN(F11:F14)</f>
        <v>0.473297778698287</v>
      </c>
    </row>
    <row r="17" customFormat="false" ht="15" hidden="false" customHeight="true" outlineLevel="0" collapsed="false">
      <c r="A17" s="6" t="s">
        <v>322</v>
      </c>
      <c r="B17" s="8" t="n">
        <f aca="false">D14/1_Accueil_Parametres!B22</f>
        <v>1904.33333333333</v>
      </c>
    </row>
    <row r="18" customFormat="false" ht="15" hidden="false" customHeight="true" outlineLevel="0" collapsed="false">
      <c r="A18" s="6" t="s">
        <v>323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324</v>
      </c>
      <c r="B20" s="9" t="n">
        <f aca="false">(10_Capacite_Remboursement!B10+9_Compte_Exploitation!B7-(8_Previsions_Ventes!G9-8_Previsions_Ventes!G5))/(8_Previsions_Ventes!D2*(1-8_Previsions_Ventes!D5)*8_Previsions_Ventes!F5)</f>
        <v>5.27516447368421</v>
      </c>
      <c r="C20" s="1" t="s">
        <v>325</v>
      </c>
    </row>
    <row r="21" customFormat="false" ht="15" hidden="false" customHeight="true" outlineLevel="0" collapsed="false">
      <c r="A21" s="6" t="s">
        <v>326</v>
      </c>
      <c r="B21" s="8" t="n">
        <f aca="false">(10_Capacite_Remboursement!B10+9_Compte_Exploitation!B7-(8_Previsions_Ventes!G9-8_Previsions_Ventes!G5))/8_Previsions_Ventes!E5</f>
        <v>3516.77631578947</v>
      </c>
      <c r="C21" s="1" t="s">
        <v>327</v>
      </c>
    </row>
    <row r="22" customFormat="false" ht="15" hidden="false" customHeight="true" outlineLevel="0" collapsed="false">
      <c r="A22" s="6" t="s">
        <v>328</v>
      </c>
      <c r="B22" s="37" t="n">
        <f aca="false">1-B20/8_Previsions_Ventes!B2</f>
        <v>0.120805921052632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329</v>
      </c>
    </row>
    <row r="2" customFormat="false" ht="15" hidden="false" customHeight="true" outlineLevel="0" collapsed="false">
      <c r="A2" s="1" t="s">
        <v>330</v>
      </c>
    </row>
    <row r="4" customFormat="false" ht="27.75" hidden="false" customHeight="true" outlineLevel="0" collapsed="false">
      <c r="A4" s="4" t="s">
        <v>203</v>
      </c>
      <c r="B4" s="4" t="s">
        <v>331</v>
      </c>
      <c r="C4" s="4" t="s">
        <v>332</v>
      </c>
      <c r="D4" s="4" t="s">
        <v>333</v>
      </c>
      <c r="E4" s="4" t="s">
        <v>334</v>
      </c>
      <c r="F4" s="4" t="s">
        <v>129</v>
      </c>
      <c r="G4" s="4" t="s">
        <v>335</v>
      </c>
      <c r="H4" s="4" t="s">
        <v>336</v>
      </c>
    </row>
    <row r="5" customFormat="false" ht="15" hidden="false" customHeight="true" outlineLevel="0" collapsed="false">
      <c r="A5" s="1" t="s">
        <v>337</v>
      </c>
      <c r="B5" s="8" t="n">
        <f aca="false">9_Compte_Exploitation!B7/(8_Previsions_Ventes!B5*1000)</f>
        <v>1.73333333333333</v>
      </c>
      <c r="C5" s="7" t="n">
        <v>1.5</v>
      </c>
      <c r="D5" s="7" t="n">
        <v>2.8</v>
      </c>
      <c r="E5" s="1" t="str">
        <f aca="false">IF(B5&lt;C5,"À vérifier — sous la plage de référence",IF(B5&gt;D5,"À vérifier — au-dessus de la plage","OK"))</f>
        <v>OK</v>
      </c>
      <c r="F5" s="1" t="s">
        <v>338</v>
      </c>
      <c r="G5" s="7" t="s">
        <v>339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171</v>
      </c>
      <c r="B6" s="9" t="n">
        <f aca="false">8_Previsions_Ventes!B2</f>
        <v>6</v>
      </c>
      <c r="C6" s="7" t="n">
        <v>3</v>
      </c>
      <c r="D6" s="7" t="n">
        <v>8</v>
      </c>
      <c r="E6" s="1" t="str">
        <f aca="false">IF(B6&lt;C6,"À vérifier — sous la plage de référence",IF(B6&gt;D6,"À vérifier — au-dessus de la plage","OK"))</f>
        <v>OK</v>
      </c>
      <c r="F6" s="1" t="s">
        <v>340</v>
      </c>
      <c r="G6" s="7" t="s">
        <v>339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341</v>
      </c>
      <c r="B7" s="9" t="n">
        <f aca="false">4_Besoins_Financiers!E5/(2_Identification_Projet!B8*10000)</f>
        <v>3</v>
      </c>
      <c r="C7" s="7" t="n">
        <v>2</v>
      </c>
      <c r="D7" s="7" t="n">
        <v>5</v>
      </c>
      <c r="E7" s="1" t="str">
        <f aca="false">IF(B7&lt;C7,"À vérifier — sous la plage de référence",IF(B7&gt;D7,"À vérifier — au-dessus de la plage","OK"))</f>
        <v>OK</v>
      </c>
      <c r="F7" s="1" t="s">
        <v>342</v>
      </c>
      <c r="G7" s="7" t="s">
        <v>339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343</v>
      </c>
      <c r="B8" s="8" t="n">
        <f aca="false">8_Previsions_Ventes!F5</f>
        <v>4000</v>
      </c>
      <c r="C8" s="7" t="n">
        <v>3000</v>
      </c>
      <c r="D8" s="7" t="n">
        <v>5000</v>
      </c>
      <c r="E8" s="1" t="str">
        <f aca="false">IF(B8&lt;C8,"À vérifier — sous la plage de référence",IF(B8&gt;D8,"À vérifier — au-dessus de la plage","OK"))</f>
        <v>OK</v>
      </c>
      <c r="F8" s="1" t="s">
        <v>344</v>
      </c>
      <c r="G8" s="7" t="s">
        <v>339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345</v>
      </c>
      <c r="B9" s="37" t="n">
        <f aca="false">8_Previsions_Ventes!D5</f>
        <v>0.05</v>
      </c>
      <c r="C9" s="35" t="n">
        <v>0.03</v>
      </c>
      <c r="D9" s="35" t="n">
        <v>0.1</v>
      </c>
      <c r="E9" s="1" t="str">
        <f aca="false">IF(B9&lt;C9,"À vérifier — sous la plage de référence",IF(B9&gt;D9,"À vérifier — au-dessus de la plage","OK"))</f>
        <v>OK</v>
      </c>
      <c r="G9" s="7" t="s">
        <v>339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346</v>
      </c>
      <c r="B10" s="7" t="s">
        <v>347</v>
      </c>
      <c r="E10" s="1" t="str">
        <f aca="false">IF(B10="Oui","OK","À vérifier — semis hors fenêtre = risque majeur")</f>
        <v>À vérifier — semis hors fenêtre = risque majeur</v>
      </c>
      <c r="G10" s="7" t="s">
        <v>339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348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349</v>
      </c>
    </row>
    <row r="2" customFormat="false" ht="15" hidden="false" customHeight="true" outlineLevel="0" collapsed="false">
      <c r="A2" s="1" t="s">
        <v>350</v>
      </c>
    </row>
    <row r="4" customFormat="false" ht="27.75" hidden="false" customHeight="true" outlineLevel="0" collapsed="false">
      <c r="A4" s="4" t="s">
        <v>89</v>
      </c>
      <c r="B4" s="4" t="s">
        <v>351</v>
      </c>
      <c r="C4" s="4" t="s">
        <v>352</v>
      </c>
      <c r="D4" s="4" t="s">
        <v>353</v>
      </c>
      <c r="E4" s="4" t="s">
        <v>354</v>
      </c>
      <c r="F4" s="4" t="s">
        <v>355</v>
      </c>
      <c r="G4" s="4" t="s">
        <v>356</v>
      </c>
      <c r="H4" s="4" t="s">
        <v>357</v>
      </c>
      <c r="I4" s="4" t="s">
        <v>226</v>
      </c>
      <c r="J4" s="4" t="s">
        <v>358</v>
      </c>
    </row>
    <row r="5" customFormat="false" ht="15" hidden="false" customHeight="true" outlineLevel="0" collapsed="false">
      <c r="A5" s="1" t="n">
        <v>1</v>
      </c>
      <c r="B5" s="1" t="s">
        <v>359</v>
      </c>
      <c r="C5" s="1" t="s">
        <v>360</v>
      </c>
      <c r="D5" s="1" t="s">
        <v>361</v>
      </c>
      <c r="E5" s="1" t="s">
        <v>362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363</v>
      </c>
      <c r="C6" s="1" t="s">
        <v>364</v>
      </c>
      <c r="D6" s="1" t="s">
        <v>365</v>
      </c>
      <c r="E6" s="1" t="s">
        <v>366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367</v>
      </c>
      <c r="C7" s="1" t="s">
        <v>368</v>
      </c>
      <c r="D7" s="1" t="s">
        <v>369</v>
      </c>
      <c r="E7" s="1" t="s">
        <v>370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371</v>
      </c>
      <c r="C8" s="1" t="s">
        <v>372</v>
      </c>
      <c r="D8" s="1" t="s">
        <v>373</v>
      </c>
      <c r="E8" s="1" t="s">
        <v>374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375</v>
      </c>
      <c r="C9" s="1" t="s">
        <v>376</v>
      </c>
      <c r="D9" s="1" t="s">
        <v>377</v>
      </c>
      <c r="E9" s="1" t="s">
        <v>378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379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380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4940</v>
      </c>
      <c r="D4" s="3" t="s">
        <v>381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4340</v>
      </c>
      <c r="D5" s="41" t="s">
        <v>382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600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10090</v>
      </c>
      <c r="D7" s="12" t="s">
        <v>383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5441.75</v>
      </c>
      <c r="D8" s="12" t="s">
        <v>384</v>
      </c>
      <c r="E8" s="27" t="str">
        <f aca="false">IF(10_Capacite_Remboursement!B12&gt;=1_Accueil_Parametres!B22,"OK","Remboursement fragile")</f>
        <v>OK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1.22818826697043</v>
      </c>
    </row>
    <row r="10" customFormat="false" ht="15" hidden="false" customHeight="true" outlineLevel="0" collapsed="false">
      <c r="A10" s="6" t="s">
        <v>385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386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387</v>
      </c>
      <c r="B12" s="37" t="n">
        <f aca="false">15_Garanties_Collateraux!B14</f>
        <v>2.69155491119971</v>
      </c>
      <c r="D12" s="1" t="s">
        <v>388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389</v>
      </c>
      <c r="B13" s="8" t="n">
        <f aca="false">16_Tresorerie_Mensuelle!B21</f>
        <v>3274.85714285714</v>
      </c>
    </row>
    <row r="14" customFormat="false" ht="15" hidden="false" customHeight="true" outlineLevel="0" collapsed="false">
      <c r="A14" s="1" t="s">
        <v>390</v>
      </c>
      <c r="B14" s="9" t="n">
        <f aca="false">17_Sensibilite_StressTest!B16</f>
        <v>0.473297778698287</v>
      </c>
      <c r="D14" s="1" t="s">
        <v>391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392</v>
      </c>
      <c r="B15" s="36" t="n">
        <f aca="false">12_Analyse_Credit!D10</f>
        <v>61.5380400075942</v>
      </c>
      <c r="D15" s="1" t="s">
        <v>393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394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395</v>
      </c>
      <c r="B4" s="4" t="s">
        <v>396</v>
      </c>
      <c r="C4" s="4" t="s">
        <v>5</v>
      </c>
      <c r="D4" s="4" t="s">
        <v>68</v>
      </c>
      <c r="E4" s="4" t="s">
        <v>129</v>
      </c>
    </row>
    <row r="5" customFormat="false" ht="15" hidden="false" customHeight="true" outlineLevel="0" collapsed="false">
      <c r="A5" s="12" t="s">
        <v>397</v>
      </c>
      <c r="B5" s="12" t="s">
        <v>398</v>
      </c>
      <c r="C5" s="42" t="n">
        <v>500</v>
      </c>
      <c r="D5" s="12" t="s">
        <v>85</v>
      </c>
      <c r="E5" s="12" t="s">
        <v>399</v>
      </c>
    </row>
    <row r="6" customFormat="false" ht="15" hidden="false" customHeight="true" outlineLevel="0" collapsed="false">
      <c r="A6" s="12" t="s">
        <v>174</v>
      </c>
      <c r="B6" s="12" t="s">
        <v>400</v>
      </c>
      <c r="C6" s="43" t="n">
        <v>0.05</v>
      </c>
      <c r="D6" s="12" t="s">
        <v>401</v>
      </c>
      <c r="E6" s="12" t="s">
        <v>402</v>
      </c>
    </row>
    <row r="7" customFormat="false" ht="15" hidden="false" customHeight="true" outlineLevel="0" collapsed="false">
      <c r="A7" s="12" t="s">
        <v>403</v>
      </c>
      <c r="B7" s="12" t="s">
        <v>67</v>
      </c>
      <c r="C7" s="44" t="n">
        <v>6</v>
      </c>
      <c r="D7" s="12" t="s">
        <v>404</v>
      </c>
      <c r="E7" s="12" t="s">
        <v>405</v>
      </c>
    </row>
    <row r="8" customFormat="false" ht="15" hidden="false" customHeight="true" outlineLevel="0" collapsed="false">
      <c r="A8" s="12" t="s">
        <v>406</v>
      </c>
      <c r="B8" s="12" t="s">
        <v>407</v>
      </c>
      <c r="C8" s="43" t="n">
        <v>0.18</v>
      </c>
      <c r="D8" s="12" t="s">
        <v>408</v>
      </c>
      <c r="E8" s="12" t="s">
        <v>409</v>
      </c>
    </row>
    <row r="9" customFormat="false" ht="15" hidden="false" customHeight="true" outlineLevel="0" collapsed="false">
      <c r="A9" s="12" t="s">
        <v>410</v>
      </c>
      <c r="B9" s="12" t="s">
        <v>411</v>
      </c>
      <c r="C9" s="12"/>
      <c r="D9" s="12"/>
      <c r="E9" s="12" t="s">
        <v>412</v>
      </c>
    </row>
    <row r="10" customFormat="false" ht="15" hidden="false" customHeight="true" outlineLevel="0" collapsed="false">
      <c r="A10" s="1" t="s">
        <v>377</v>
      </c>
      <c r="B10" s="1" t="s">
        <v>413</v>
      </c>
      <c r="C10" s="1" t="n">
        <f aca="false">1_Accueil_Parametres!B20</f>
        <v>6</v>
      </c>
      <c r="D10" s="1" t="s">
        <v>108</v>
      </c>
      <c r="E10" s="1" t="s">
        <v>414</v>
      </c>
    </row>
    <row r="11" customFormat="false" ht="15" hidden="false" customHeight="true" outlineLevel="0" collapsed="false">
      <c r="A11" s="1" t="s">
        <v>415</v>
      </c>
      <c r="B11" s="1" t="s">
        <v>416</v>
      </c>
      <c r="C11" s="1" t="s">
        <v>417</v>
      </c>
      <c r="D11" s="1" t="s">
        <v>418</v>
      </c>
      <c r="E11" s="1" t="s">
        <v>419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