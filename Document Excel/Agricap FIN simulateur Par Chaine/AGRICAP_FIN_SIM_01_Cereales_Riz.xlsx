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6.xml" ContentType="application/vnd.openxmlformats-officedocument.spreadsheetml.comments+xml"/>
  <Override PartName="/xl/worksheets/sheet16.xml" ContentType="application/vnd.openxmlformats-officedocument.spreadsheetml.worksheet+xml"/>
  <Override PartName="/xl/comments/comment7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Accueil_Parametres" sheetId="1" state="visible" r:id="rId1"/>
    <sheet xmlns:r="http://schemas.openxmlformats.org/officeDocument/2006/relationships" name="2_Identification_Projet" sheetId="2" state="visible" r:id="rId2"/>
    <sheet xmlns:r="http://schemas.openxmlformats.org/officeDocument/2006/relationships" name="3_Parametres_Techniques" sheetId="3" state="visible" r:id="rId3"/>
    <sheet xmlns:r="http://schemas.openxmlformats.org/officeDocument/2006/relationships" name="4_Besoins_Financiers" sheetId="4" state="visible" r:id="rId4"/>
    <sheet xmlns:r="http://schemas.openxmlformats.org/officeDocument/2006/relationships" name="5_Synthese_Besoins" sheetId="5" state="visible" r:id="rId5"/>
    <sheet xmlns:r="http://schemas.openxmlformats.org/officeDocument/2006/relationships" name="6_Plan_Financement" sheetId="6" state="visible" r:id="rId6"/>
    <sheet xmlns:r="http://schemas.openxmlformats.org/officeDocument/2006/relationships" name="7_Plan_Decaissement" sheetId="7" state="visible" r:id="rId7"/>
    <sheet xmlns:r="http://schemas.openxmlformats.org/officeDocument/2006/relationships" name="8_Previsions_Ventes" sheetId="8" state="visible" r:id="rId8"/>
    <sheet xmlns:r="http://schemas.openxmlformats.org/officeDocument/2006/relationships" name="9_Compte_Exploitation" sheetId="9" state="visible" r:id="rId9"/>
    <sheet xmlns:r="http://schemas.openxmlformats.org/officeDocument/2006/relationships" name="10_Capacite_Remboursement" sheetId="10" state="visible" r:id="rId10"/>
    <sheet xmlns:r="http://schemas.openxmlformats.org/officeDocument/2006/relationships" name="11_Echeancier" sheetId="11" state="visible" r:id="rId11"/>
    <sheet xmlns:r="http://schemas.openxmlformats.org/officeDocument/2006/relationships" name="12_Analyse_Credit" sheetId="12" state="visible" r:id="rId12"/>
    <sheet xmlns:r="http://schemas.openxmlformats.org/officeDocument/2006/relationships" name="15_Garanties_Collateraux" sheetId="13" state="visible" r:id="rId13"/>
    <sheet xmlns:r="http://schemas.openxmlformats.org/officeDocument/2006/relationships" name="16_Tresorerie_Mensuelle" sheetId="14" state="visible" r:id="rId14"/>
    <sheet xmlns:r="http://schemas.openxmlformats.org/officeDocument/2006/relationships" name="17_Sensibilite_StressTest" sheetId="15" state="visible" r:id="rId15"/>
    <sheet xmlns:r="http://schemas.openxmlformats.org/officeDocument/2006/relationships" name="18_Controles_Vraisemblance" sheetId="16" state="visible" r:id="rId16"/>
    <sheet xmlns:r="http://schemas.openxmlformats.org/officeDocument/2006/relationships" name="19_Suivi_Post_Decaissement" sheetId="17" state="visible" r:id="rId17"/>
    <sheet xmlns:r="http://schemas.openxmlformats.org/officeDocument/2006/relationships" name="13_Tableau_Bord" sheetId="18" state="visible" r:id="rId18"/>
    <sheet xmlns:r="http://schemas.openxmlformats.org/officeDocument/2006/relationships" name="14_Annexes_Hypotheses" sheetId="19" state="visible" r:id="rId1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dd/mm/yyyy"/>
    <numFmt numFmtId="166" formatCode="0.0%"/>
    <numFmt numFmtId="167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4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0000FF"/>
      <sz val="11"/>
    </font>
    <font>
      <name val="Arial"/>
      <family val="2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2" fontId="0" fillId="5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164" fontId="0" fillId="5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6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 wrapText="1"/>
    </xf>
    <xf numFmtId="164" fontId="7" fillId="4" borderId="1" applyAlignment="1" pivotButton="0" quotePrefix="0" xfId="0">
      <alignment horizontal="general" vertical="bottom" wrapText="1"/>
    </xf>
    <xf numFmtId="3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165" fontId="6" fillId="2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general" vertical="bottom"/>
    </xf>
    <xf numFmtId="167" fontId="0" fillId="5" borderId="1" applyAlignment="1" pivotButton="0" quotePrefix="0" xfId="0">
      <alignment horizontal="general" vertical="bottom"/>
    </xf>
    <xf numFmtId="9" fontId="0" fillId="5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4" fontId="7" fillId="4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/>
    </xf>
    <xf numFmtId="2" fontId="0" fillId="5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7" fillId="4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164" fontId="0" fillId="5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general" vertical="bottom"/>
    </xf>
    <xf numFmtId="164" fontId="5" fillId="5" borderId="1" applyAlignment="1" pivotButton="0" quotePrefix="0" xfId="0">
      <alignment horizontal="general" vertical="bottom"/>
    </xf>
    <xf numFmtId="164" fontId="0" fillId="4" borderId="1" applyAlignment="1" pivotButton="0" quotePrefix="0" xfId="0">
      <alignment horizontal="general" vertical="bottom"/>
    </xf>
    <xf numFmtId="166" fontId="0" fillId="5" borderId="1" applyAlignment="1" pivotButton="0" quotePrefix="0" xfId="0">
      <alignment horizontal="general" vertical="bottom"/>
    </xf>
    <xf numFmtId="164" fontId="0" fillId="5" borderId="1" applyAlignment="1" pivotButton="0" quotePrefix="0" xfId="0">
      <alignment horizontal="general" vertical="bottom" wrapText="1"/>
    </xf>
    <xf numFmtId="0" fontId="0" fillId="5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 wrapText="1"/>
    </xf>
    <xf numFmtId="164" fontId="7" fillId="4" borderId="1" applyAlignment="1" pivotButton="0" quotePrefix="0" xfId="0">
      <alignment horizontal="general" vertical="bottom" wrapText="1"/>
    </xf>
    <xf numFmtId="3" fontId="0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0" fillId="5" borderId="0" applyAlignment="1" pivotButton="0" quotePrefix="0" xfId="0">
      <alignment horizontal="general" vertical="bottom"/>
    </xf>
    <xf numFmtId="165" fontId="6" fillId="2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general" vertical="bottom"/>
    </xf>
    <xf numFmtId="167" fontId="0" fillId="5" borderId="1" applyAlignment="1" pivotButton="0" quotePrefix="0" xfId="0">
      <alignment horizontal="general" vertical="bottom"/>
    </xf>
    <xf numFmtId="9" fontId="0" fillId="5" borderId="1" applyAlignment="1" pivotButton="0" quotePrefix="0" xfId="0">
      <alignment horizontal="general" vertical="bottom"/>
    </xf>
    <xf numFmtId="4" fontId="7" fillId="4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4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Unknown Author</author>
  </authors>
  <commentList>
    <comment ref="G4" authorId="0" shapeId="0">
      <text>
        <t>Nombre de répétitions de la dépense pendant le cycle.</t>
      </text>
    </comment>
    <comment ref="B10" authorId="0" shapeId="0">
      <text>
        <t>Coût de location des services de machinerie agricole, du labour à la récolte.</t>
      </text>
    </comment>
    <comment ref="B15" authorId="0" shapeId="0">
      <text>
        <t>Main d'œuvre de supervision et travaux agricoles (si pas de recours à la mécanisation).</t>
      </text>
    </comment>
    <comment ref="B20" authorId="0" shapeId="0">
      <text>
        <t>Achat d'équipement le cas échéant (investissement, non une charge du cycle).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7" authorId="0" shapeId="0">
      <text>
        <t>Montant d'apport propre du client.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13" authorId="0" shapeId="0">
      <text>
        <t>Ratio = Recette nette projetée / Total à rembourser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8" authorId="0" shapeId="0">
      <text>
        <t>Dès le 2e cycle : alimenter automatiquement par l'historique de remboursement du wallet AGRICAP.</t>
      </text>
    </comment>
    <comment ref="C8" authorId="0" shapeId="0">
      <text>
        <t>Neutre (50) au 1er cycle. Dès le 2e cycle : alimenter automatiquement par l'historique de remboursement du wallet AGRICAP (retards, incidents, régularité). C'est le facteur le plus prédictif du risque.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E10" authorId="0" shapeId="0">
      <text>
        <t>50 % des ventes supposées sous contrat — ajuster selon la convention signée.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E13" authorId="0" shapeId="0">
      <text>
        <t>Hypothèse simplificatrice : le crédit reste constant ; en pratique une hausse des coûts accroît le besoin de financement.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G5" authorId="0" shapeId="0">
      <text>
        <t>Le client peut justifier un écart (facture, photo géolocalisée, contrat) sans modifier son chiffre : l'écart devient « Justifié ». Évite que les clients apprennent à saisir des valeurs « dans la plage ».</t>
      </text>
    </comment>
  </commentList>
</comment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45" min="1" max="1"/>
    <col width="22" customWidth="1" style="45" min="2" max="2"/>
    <col width="28" customWidth="1" style="45" min="4" max="4"/>
    <col width="18" customWidth="1" style="45" min="5" max="5"/>
  </cols>
  <sheetData>
    <row r="1" ht="17.25" customHeight="1" s="46">
      <c r="A1" s="47" t="inlineStr">
        <is>
          <t>AGRICAP FIN - Simulateur de crédit basé sur le cycle de production</t>
        </is>
      </c>
    </row>
    <row r="2">
      <c r="A2" t="inlineStr">
        <is>
          <t>CLASSEUR DE RÉFÉRENCE INSTITUTIONNEL — établi pour 1 hectare depuis le référentiel ValueChain actif « RIZ » (coût/ha et poids par module validés en maker-checker). Les onglets 4 et 5 portent donc des coûts de RÉFÉRENCE, pas le plan d'un demandeur.</t>
        </is>
      </c>
    </row>
    <row r="3" ht="15" customHeight="1" s="46">
      <c r="A3" s="48" t="inlineStr">
        <is>
          <t>Instructions</t>
        </is>
      </c>
    </row>
    <row r="4" ht="15" customHeight="1" s="46">
      <c r="A4" s="45" t="inlineStr">
        <is>
          <t>Remplir les cellules jaunes. Les cellules vertes sont calculées automatiquement.</t>
        </is>
      </c>
    </row>
    <row r="5" ht="15" customHeight="1" s="46">
      <c r="A5" s="45" t="inlineStr">
        <is>
          <t>Onglets 4 et 5 : annexe à remettre au demandeur (à joindre au plan d'affaires). Autres onglets : usage interne analyste.</t>
        </is>
      </c>
    </row>
    <row r="6" ht="15" customHeight="1" s="46">
      <c r="A6" s="49" t="inlineStr">
        <is>
          <t>Paramètre</t>
        </is>
      </c>
      <c r="B6" s="49" t="inlineStr">
        <is>
          <t>Valeur</t>
        </is>
      </c>
      <c r="C6" s="50" t="n"/>
      <c r="D6" s="49" t="inlineStr">
        <is>
          <t>Sorties clés</t>
        </is>
      </c>
      <c r="E6" s="49" t="inlineStr">
        <is>
          <t>Valeur</t>
        </is>
      </c>
    </row>
    <row r="7" ht="15" customHeight="1" s="46">
      <c r="A7" s="51" t="inlineStr">
        <is>
          <t>Nom du projet</t>
        </is>
      </c>
      <c r="B7" s="52" t="inlineStr">
        <is>
          <t>Référence Riz — 1 hectare</t>
        </is>
      </c>
      <c r="D7" s="51" t="inlineStr">
        <is>
          <t>Besoin total du cycle</t>
        </is>
      </c>
      <c r="E7" s="53">
        <f>5_Synthese_Besoins!B13</f>
        <v/>
      </c>
    </row>
    <row r="8" ht="15" customHeight="1" s="46">
      <c r="A8" s="51" t="inlineStr">
        <is>
          <t>Code dossier</t>
        </is>
      </c>
      <c r="B8" s="52" t="inlineStr">
        <is>
          <t>REF-RIZ</t>
        </is>
      </c>
      <c r="D8" s="51" t="inlineStr">
        <is>
          <t>Crédit recommandé</t>
        </is>
      </c>
      <c r="E8" s="53">
        <f>6_Plan_Financement!B8</f>
        <v/>
      </c>
    </row>
    <row r="9" ht="15" customHeight="1" s="46">
      <c r="A9" s="51" t="inlineStr">
        <is>
          <t>Nom de l'opérateur</t>
        </is>
      </c>
      <c r="B9" s="52" t="inlineStr">
        <is>
          <t>AGRICAP — référentiel institutionnel</t>
        </is>
      </c>
      <c r="D9" s="51" t="inlineStr">
        <is>
          <t>Apport propre</t>
        </is>
      </c>
      <c r="E9" s="53">
        <f>6_Plan_Financement!B7</f>
        <v/>
      </c>
    </row>
    <row r="10" ht="15" customHeight="1" s="46">
      <c r="A10" s="51" t="inlineStr">
        <is>
          <t>Filière</t>
        </is>
      </c>
      <c r="B10" s="52" t="inlineStr">
        <is>
          <t>Riz</t>
        </is>
      </c>
      <c r="D10" s="51" t="inlineStr">
        <is>
          <t>Recettes prévues</t>
        </is>
      </c>
      <c r="E10" s="53">
        <f>9_Compte_Exploitation!B6</f>
        <v/>
      </c>
    </row>
    <row r="11" ht="15" customHeight="1" s="46">
      <c r="A11" s="51" t="inlineStr">
        <is>
          <t>Zone</t>
        </is>
      </c>
      <c r="B11" s="52" t="n"/>
      <c r="D11" s="51" t="inlineStr">
        <is>
          <t>Résultat net prévisionnel</t>
        </is>
      </c>
      <c r="E11" s="53">
        <f>9_Compte_Exploitation!B12</f>
        <v/>
      </c>
    </row>
    <row r="12" ht="15" customHeight="1" s="46">
      <c r="A12" s="51" t="inlineStr">
        <is>
          <t>Campagne / saison</t>
        </is>
      </c>
      <c r="B12" s="52" t="n"/>
      <c r="D12" s="51" t="inlineStr">
        <is>
          <t>DSCR (capacité de remboursement)</t>
        </is>
      </c>
      <c r="E12" s="54">
        <f>10_Capacite_Remboursement!B12</f>
        <v/>
      </c>
    </row>
    <row r="13" ht="15" customHeight="1" s="46">
      <c r="A13" s="51" t="inlineStr">
        <is>
          <t>Devise principale</t>
        </is>
      </c>
      <c r="B13" s="52" t="inlineStr">
        <is>
          <t>USD</t>
        </is>
      </c>
    </row>
    <row r="14" ht="15" customHeight="1" s="46">
      <c r="A14" s="51" t="inlineStr">
        <is>
          <t>Date de démarrage prévue</t>
        </is>
      </c>
      <c r="B14" s="55" t="n">
        <v>46054</v>
      </c>
    </row>
    <row r="15" ht="15" customHeight="1" s="46">
      <c r="A15" s="51" t="inlineStr">
        <is>
          <t>Durée du cycle (mois)</t>
        </is>
      </c>
      <c r="B15" s="52" t="n">
        <v>6</v>
      </c>
    </row>
    <row r="16" ht="15" customHeight="1" s="46">
      <c r="A16" s="51" t="inlineStr">
        <is>
          <t>Taux d'intérêt annuel</t>
        </is>
      </c>
      <c r="B16" s="56" t="n">
        <v>0.07000000000000001</v>
      </c>
    </row>
    <row r="17" ht="15" customHeight="1" s="46">
      <c r="A17" s="51" t="inlineStr">
        <is>
          <t>Durée du crédit (mois)</t>
        </is>
      </c>
      <c r="B17" s="52" t="n">
        <v>6</v>
      </c>
    </row>
    <row r="18" ht="15" customHeight="1" s="46">
      <c r="A18" s="51" t="inlineStr">
        <is>
          <t>Mode de remboursement</t>
        </is>
      </c>
      <c r="B18" s="52" t="inlineStr">
        <is>
          <t>Mensuel</t>
        </is>
      </c>
    </row>
    <row r="19" ht="15" customHeight="1" s="46">
      <c r="A19" s="51" t="inlineStr">
        <is>
          <t>Analyste en charge</t>
        </is>
      </c>
      <c r="B19" s="52" t="n"/>
    </row>
    <row r="20" ht="15" customHeight="1" s="46">
      <c r="A20" s="51" t="inlineStr">
        <is>
          <t>Différé de remboursement (mois)</t>
        </is>
      </c>
      <c r="B20" s="52" t="n">
        <v>0</v>
      </c>
      <c r="C20" s="45" t="inlineStr">
        <is>
          <t>0 = mensualités dès le mois 1 ; différé = remboursement après récolte (intérêts du différé capitalisés à la 1ère échéance)</t>
        </is>
      </c>
    </row>
    <row r="21" ht="15" customHeight="1" s="46">
      <c r="A21" s="51" t="inlineStr">
        <is>
          <t>Type de crédit</t>
        </is>
      </c>
      <c r="B21" s="52" t="inlineStr">
        <is>
          <t>Crédit de campagne</t>
        </is>
      </c>
    </row>
    <row r="22" ht="15" customHeight="1" s="46">
      <c r="A22" s="51" t="inlineStr">
        <is>
          <t>Seuil DSCR (avis favorable)</t>
        </is>
      </c>
      <c r="B22" s="52" t="n">
        <v>1.2</v>
      </c>
      <c r="C22" s="45" t="inlineStr">
        <is>
          <t>Seuils prudentiels par défaut — à recalibrer sur les défauts observés (revue semestrielle)</t>
        </is>
      </c>
    </row>
    <row r="23" ht="15" customHeight="1" s="46">
      <c r="A23" s="51" t="inlineStr">
        <is>
          <t>Seuil DSCR stressé minimal</t>
        </is>
      </c>
      <c r="B23" s="52" t="n">
        <v>1</v>
      </c>
    </row>
    <row r="24" ht="15" customHeight="1" s="46">
      <c r="A24" s="51" t="inlineStr">
        <is>
          <t>Seuil de couverture des garanties</t>
        </is>
      </c>
      <c r="B24" s="52" t="n">
        <v>1</v>
      </c>
    </row>
    <row r="25" ht="15" customHeight="1" s="46">
      <c r="A25" s="51" t="inlineStr">
        <is>
          <t>Score global minimal (favorable)</t>
        </is>
      </c>
      <c r="B25" s="52" t="n">
        <v>70</v>
      </c>
    </row>
  </sheetData>
  <mergeCells count="1">
    <mergeCell ref="A1:J1"/>
  </mergeCells>
  <dataValidations count="3">
    <dataValidation sqref="B20" showDropDown="0" showInputMessage="0" showErrorMessage="0" allowBlank="1" type="whole" errorStyle="stop" operator="between">
      <formula1>0</formula1>
      <formula2>24</formula2>
    </dataValidation>
    <dataValidation sqref="B21" showDropDown="0" showInputMessage="0" showErrorMessage="0" allowBlank="1" type="list" errorStyle="stop" operator="between">
      <formula1>"Crédit de campagne,Crédit d'investissement (≤ 24 mois)"</formula1>
      <formula2>0</formula2>
    </dataValidation>
    <dataValidation sqref="B17" showDropDown="0" showInputMessage="0" showErrorMessage="0" allowBlank="1" type="whole" errorStyle="stop" operator="between">
      <formula1>1</formula1>
      <formula2>24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35" customWidth="1" style="45" min="2" max="2"/>
    <col width="26" customWidth="1" style="45" min="3" max="3"/>
  </cols>
  <sheetData>
    <row r="1" ht="17.25" customHeight="1" s="46">
      <c r="A1" s="47" t="inlineStr">
        <is>
          <t>Identification du projet / client</t>
        </is>
      </c>
    </row>
    <row r="4" ht="15" customHeight="1" s="46">
      <c r="A4" s="49" t="inlineStr">
        <is>
          <t>Rubrique</t>
        </is>
      </c>
      <c r="B4" s="49" t="inlineStr">
        <is>
          <t>Valeur</t>
        </is>
      </c>
      <c r="C4" s="49" t="inlineStr">
        <is>
          <t>Commentaires</t>
        </is>
      </c>
    </row>
    <row r="5" ht="15" customHeight="1" s="46">
      <c r="A5" s="51" t="inlineStr">
        <is>
          <t>Type d'opérateur agricole</t>
        </is>
      </c>
      <c r="B5" s="52" t="n"/>
      <c r="C5" s="57" t="n"/>
    </row>
    <row r="6" ht="15" customHeight="1" s="46">
      <c r="A6" s="51" t="inlineStr">
        <is>
          <t>Profils chaîne de valeur</t>
        </is>
      </c>
      <c r="B6" s="52" t="n"/>
      <c r="C6" s="57" t="inlineStr">
        <is>
          <t>Sélection multiple</t>
        </is>
      </c>
    </row>
    <row r="7" ht="15" customHeight="1" s="46">
      <c r="A7" s="51" t="inlineStr">
        <is>
          <t>Production principale</t>
        </is>
      </c>
      <c r="B7" s="52" t="inlineStr">
        <is>
          <t>Riz</t>
        </is>
      </c>
      <c r="C7" s="57" t="n"/>
    </row>
    <row r="8" ht="15" customHeight="1" s="46">
      <c r="A8" s="51" t="inlineStr">
        <is>
          <t>Superficie exploitée (ha)</t>
        </is>
      </c>
      <c r="B8" s="52" t="n">
        <v>1</v>
      </c>
      <c r="C8" s="57" t="n"/>
    </row>
    <row r="9" ht="15" customHeight="1" s="46">
      <c r="A9" s="51" t="inlineStr">
        <is>
          <t>Zone d'activité</t>
        </is>
      </c>
      <c r="B9" s="52" t="n"/>
      <c r="C9" s="57" t="n"/>
    </row>
    <row r="10" ht="15" customHeight="1" s="46">
      <c r="A10" s="51" t="inlineStr">
        <is>
          <t>Années d'expérience</t>
        </is>
      </c>
      <c r="B10" s="52" t="n"/>
      <c r="C10" s="57" t="n"/>
    </row>
    <row r="11" ht="15" customHeight="1" s="46">
      <c r="A11" s="51" t="inlineStr">
        <is>
          <t>Besoin principal</t>
        </is>
      </c>
      <c r="B11" s="52" t="inlineStr">
        <is>
          <t>Crédit de campagne</t>
        </is>
      </c>
      <c r="C11" s="57" t="n"/>
    </row>
    <row r="12" ht="15" customHeight="1" s="46">
      <c r="A12" s="51" t="inlineStr">
        <is>
          <t>Garanties disponibles</t>
        </is>
      </c>
      <c r="B12" s="52" t="inlineStr">
        <is>
          <t>epargne; morale</t>
        </is>
      </c>
      <c r="C12" s="57" t="n"/>
    </row>
    <row r="13" ht="15" customHeight="1" s="46">
      <c r="A13" s="51" t="inlineStr">
        <is>
          <t>Apport propre (USD)</t>
        </is>
      </c>
      <c r="B13" s="58" t="n">
        <v>0</v>
      </c>
      <c r="C13" s="57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12" customWidth="1" style="45" min="2" max="4"/>
    <col width="28" customWidth="1" style="45" min="5" max="5"/>
    <col width="16" customWidth="1" style="45" min="6" max="6"/>
    <col width="10" customWidth="1" style="45" min="7" max="7"/>
    <col width="12" customWidth="1" style="45" min="8" max="9"/>
    <col width="24" customWidth="1" style="45" min="10" max="10"/>
  </cols>
  <sheetData>
    <row r="1" ht="17.25" customHeight="1" s="46">
      <c r="A1" s="47" t="inlineStr">
        <is>
          <t>Paramètres techniques du cycle</t>
        </is>
      </c>
    </row>
    <row r="4" ht="27.75" customHeight="1" s="46">
      <c r="A4" s="49" t="inlineStr">
        <is>
          <t>Phase</t>
        </is>
      </c>
      <c r="B4" s="49" t="inlineStr">
        <is>
          <t>Début (mois)</t>
        </is>
      </c>
      <c r="C4" s="49" t="inlineStr">
        <is>
          <t>Fin (mois)</t>
        </is>
      </c>
      <c r="D4" s="49" t="inlineStr">
        <is>
          <t>Durée (mois)</t>
        </is>
      </c>
      <c r="E4" s="49" t="inlineStr">
        <is>
          <t>Description</t>
        </is>
      </c>
      <c r="F4" s="49" t="inlineStr">
        <is>
          <t>Rendement attendu</t>
        </is>
      </c>
      <c r="G4" s="49" t="inlineStr">
        <is>
          <t>Unité</t>
        </is>
      </c>
      <c r="H4" s="49" t="inlineStr">
        <is>
          <t>Prix prévu</t>
        </is>
      </c>
      <c r="I4" s="49" t="inlineStr">
        <is>
          <t>Unité prix</t>
        </is>
      </c>
      <c r="J4" s="49" t="inlineStr">
        <is>
          <t>Observations</t>
        </is>
      </c>
    </row>
    <row r="5" ht="27.75" customHeight="1" s="46">
      <c r="A5" s="59" t="inlineStr">
        <is>
          <t>Préparation</t>
        </is>
      </c>
      <c r="B5" s="60" t="n"/>
      <c r="C5" s="60" t="n"/>
      <c r="D5" s="61">
        <f>C5-B5+1</f>
        <v/>
      </c>
      <c r="E5" s="62" t="n"/>
      <c r="F5" s="60" t="n"/>
      <c r="G5" s="62" t="n"/>
      <c r="H5" s="60" t="n"/>
      <c r="I5" s="62" t="n"/>
      <c r="J5" s="62" t="inlineStr">
        <is>
          <t>Calendrier cultural et rendement à compléter — le référentiel ValueChain ne porte ni phases ni rendement pour cette filière.</t>
        </is>
      </c>
    </row>
    <row r="6" ht="15" customHeight="1" s="46">
      <c r="A6" s="59" t="inlineStr">
        <is>
          <t>Implantation</t>
        </is>
      </c>
      <c r="B6" s="60" t="n"/>
      <c r="C6" s="60" t="n"/>
      <c r="D6" s="61">
        <f>C6-B6+1</f>
        <v/>
      </c>
      <c r="E6" s="62" t="n"/>
      <c r="F6" s="60" t="n"/>
      <c r="G6" s="62" t="n"/>
      <c r="H6" s="60" t="n"/>
      <c r="I6" s="62" t="n"/>
      <c r="J6" s="62" t="n"/>
    </row>
    <row r="7" ht="15" customHeight="1" s="46">
      <c r="A7" s="59" t="inlineStr">
        <is>
          <t>Croissance</t>
        </is>
      </c>
      <c r="B7" s="60" t="n"/>
      <c r="C7" s="60" t="n"/>
      <c r="D7" s="61">
        <f>C7-B7+1</f>
        <v/>
      </c>
      <c r="E7" s="62" t="n"/>
      <c r="F7" s="60" t="n"/>
      <c r="G7" s="62" t="n"/>
      <c r="H7" s="60" t="n"/>
      <c r="I7" s="62" t="n"/>
      <c r="J7" s="62" t="n"/>
    </row>
    <row r="8" ht="15" customHeight="1" s="46">
      <c r="A8" s="59" t="inlineStr">
        <is>
          <t>Récolte</t>
        </is>
      </c>
      <c r="B8" s="60" t="n"/>
      <c r="C8" s="60" t="n"/>
      <c r="D8" s="61">
        <f>C8-B8+1</f>
        <v/>
      </c>
      <c r="E8" s="62" t="n"/>
      <c r="F8" s="60" t="n"/>
      <c r="G8" s="62" t="n"/>
      <c r="H8" s="60" t="n"/>
      <c r="I8" s="62" t="n"/>
      <c r="J8" s="62" t="n"/>
    </row>
    <row r="9" ht="15" customHeight="1" s="46">
      <c r="A9" s="59" t="inlineStr">
        <is>
          <t>Post-récolte</t>
        </is>
      </c>
      <c r="B9" s="60" t="n"/>
      <c r="C9" s="60" t="n"/>
      <c r="D9" s="61">
        <f>C9-B9+1</f>
        <v/>
      </c>
      <c r="E9" s="62" t="n"/>
      <c r="F9" s="60" t="n"/>
      <c r="G9" s="62" t="n"/>
      <c r="H9" s="60" t="n"/>
      <c r="I9" s="62" t="n"/>
      <c r="J9" s="62" t="n"/>
    </row>
    <row r="10" ht="27.75" customHeight="1" s="46">
      <c r="A10" s="59" t="inlineStr">
        <is>
          <t>Commercialisation</t>
        </is>
      </c>
      <c r="B10" s="60" t="n"/>
      <c r="C10" s="60" t="n"/>
      <c r="D10" s="61">
        <f>C10-B10+1</f>
        <v/>
      </c>
      <c r="E10" s="62" t="n"/>
      <c r="F10" s="60" t="n"/>
      <c r="G10" s="62" t="n"/>
      <c r="H10" s="60" t="n"/>
      <c r="I10" s="62" t="n"/>
      <c r="J10" s="62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45" min="1" max="1"/>
    <col width="28" customWidth="1" style="45" min="2" max="2"/>
    <col width="38" customWidth="1" style="45" min="3" max="3"/>
    <col width="12" customWidth="1" style="45" min="4" max="4"/>
    <col width="10" customWidth="1" style="45" min="5" max="5"/>
    <col width="14" customWidth="1" style="45" min="6" max="6"/>
    <col width="10" customWidth="1" style="45" min="7" max="7"/>
    <col width="14" customWidth="1" style="45" min="8" max="8"/>
    <col width="16" customWidth="1" style="45" min="9" max="9"/>
    <col width="18" customWidth="1" style="45" min="10" max="12"/>
  </cols>
  <sheetData>
    <row r="1" ht="17.25" customHeight="1" s="46">
      <c r="A1" s="47" t="inlineStr">
        <is>
          <t>Besoins financiers détaillés du cycle</t>
        </is>
      </c>
    </row>
    <row r="2" ht="15" customHeight="1" s="46">
      <c r="A2" s="45" t="inlineStr">
        <is>
          <t>ANNEXE DEMANDEUR — à joindre au plan d'affaires. Saisir uniquement les cellules jaunes ; la colonne « Montant total » se calcule automatiquement. Utiliser les listes déroulantes (Rubrique, Période, Financement).</t>
        </is>
      </c>
    </row>
    <row r="3">
      <c r="A3" t="inlineStr">
        <is>
          <t>Une ligne par rubrique = coût de référence de la rubrique pour 1 hectare. Le détail par poste (quantités, prix unitaires) n'est pas renseigné : aucun référentiel AGRICAP ne le porte pour cette filière, et l'inventer fabriquerait des écarts techniques faux.</t>
        </is>
      </c>
    </row>
    <row r="4" ht="27.75" customHeight="1" s="46">
      <c r="A4" s="49" t="inlineStr">
        <is>
          <t>N°</t>
        </is>
      </c>
      <c r="B4" s="49" t="inlineStr">
        <is>
          <t>Rubrique</t>
        </is>
      </c>
      <c r="C4" s="49" t="inlineStr">
        <is>
          <t>Description détaillée</t>
        </is>
      </c>
      <c r="D4" s="49" t="inlineStr">
        <is>
          <t>Unité</t>
        </is>
      </c>
      <c r="E4" s="49" t="inlineStr">
        <is>
          <t>Quantité</t>
        </is>
      </c>
      <c r="F4" s="49" t="inlineStr">
        <is>
          <t>Coût unitaire</t>
        </is>
      </c>
      <c r="G4" s="49" t="inlineStr">
        <is>
          <t>Fréquence</t>
        </is>
      </c>
      <c r="H4" s="49" t="inlineStr">
        <is>
          <t>Montant total</t>
        </is>
      </c>
      <c r="I4" s="49" t="inlineStr">
        <is>
          <t>Période du cycle</t>
        </is>
      </c>
      <c r="J4" s="49" t="inlineStr">
        <is>
          <t>Financement souhaité</t>
        </is>
      </c>
      <c r="K4" s="49" t="inlineStr">
        <is>
          <t>Observations</t>
        </is>
      </c>
      <c r="L4" s="49" t="inlineStr">
        <is>
          <t>Validation analyste</t>
        </is>
      </c>
    </row>
    <row r="5" ht="15" customHeight="1" s="46">
      <c r="A5" s="63" t="n">
        <v>1</v>
      </c>
      <c r="B5" s="63" t="inlineStr">
        <is>
          <t>Semences &amp; Intrants</t>
        </is>
      </c>
      <c r="C5" s="63" t="inlineStr">
        <is>
          <t>Coût de référence — semences &amp; intrants</t>
        </is>
      </c>
      <c r="D5" s="63" t="inlineStr">
        <is>
          <t>ha</t>
        </is>
      </c>
      <c r="E5" s="64" t="n">
        <v>1</v>
      </c>
      <c r="F5" s="64" t="n">
        <v>300</v>
      </c>
      <c r="G5" s="64" t="n">
        <v>1</v>
      </c>
      <c r="H5" s="65" t="n">
        <v>300</v>
      </c>
      <c r="I5" s="63" t="inlineStr">
        <is>
          <t>Tout le cycle</t>
        </is>
      </c>
      <c r="J5" s="64" t="inlineStr">
        <is>
          <t>Crédit</t>
        </is>
      </c>
      <c r="K5" s="64" t="inlineStr">
        <is>
          <t>Poids référentiel : 20 %</t>
        </is>
      </c>
      <c r="L5" s="64" t="n"/>
    </row>
    <row r="6" ht="15" customHeight="1" s="46">
      <c r="A6" s="63" t="n">
        <v>2</v>
      </c>
      <c r="B6" s="63" t="inlineStr">
        <is>
          <t>Opérations mécanisées</t>
        </is>
      </c>
      <c r="C6" s="63" t="inlineStr">
        <is>
          <t>Coût de référence — opérations mécanisées</t>
        </is>
      </c>
      <c r="D6" s="63" t="inlineStr">
        <is>
          <t>ha</t>
        </is>
      </c>
      <c r="E6" s="64" t="n">
        <v>1</v>
      </c>
      <c r="F6" s="64" t="n">
        <v>270</v>
      </c>
      <c r="G6" s="64" t="n">
        <v>1</v>
      </c>
      <c r="H6" s="65" t="n">
        <v>270</v>
      </c>
      <c r="I6" s="63" t="inlineStr">
        <is>
          <t>Tout le cycle</t>
        </is>
      </c>
      <c r="J6" s="64" t="inlineStr">
        <is>
          <t>Crédit</t>
        </is>
      </c>
      <c r="K6" s="64" t="inlineStr">
        <is>
          <t>Poids référentiel : 18 %</t>
        </is>
      </c>
      <c r="L6" s="64" t="n"/>
    </row>
    <row r="7" ht="15" customHeight="1" s="46">
      <c r="A7" s="63" t="n">
        <v>3</v>
      </c>
      <c r="B7" s="63" t="inlineStr">
        <is>
          <t>Main d'œuvre</t>
        </is>
      </c>
      <c r="C7" s="63" t="inlineStr">
        <is>
          <t>Coût de référence — main d'œuvre</t>
        </is>
      </c>
      <c r="D7" s="63" t="inlineStr">
        <is>
          <t>ha</t>
        </is>
      </c>
      <c r="E7" s="64" t="n">
        <v>1</v>
      </c>
      <c r="F7" s="64" t="n">
        <v>420</v>
      </c>
      <c r="G7" s="64" t="n">
        <v>1</v>
      </c>
      <c r="H7" s="65" t="n">
        <v>420</v>
      </c>
      <c r="I7" s="63" t="inlineStr">
        <is>
          <t>Tout le cycle</t>
        </is>
      </c>
      <c r="J7" s="64" t="inlineStr">
        <is>
          <t>Crédit</t>
        </is>
      </c>
      <c r="K7" s="64" t="inlineStr">
        <is>
          <t>Poids référentiel : 28 %</t>
        </is>
      </c>
      <c r="L7" s="64" t="n"/>
    </row>
    <row r="8" ht="15" customHeight="1" s="46">
      <c r="A8" s="63" t="n">
        <v>4</v>
      </c>
      <c r="B8" s="63" t="inlineStr">
        <is>
          <t>Équipement &amp; petit matériel</t>
        </is>
      </c>
      <c r="C8" s="63" t="inlineStr">
        <is>
          <t>Coût de référence — équipement &amp; petit matériel</t>
        </is>
      </c>
      <c r="D8" s="63" t="inlineStr">
        <is>
          <t>ha</t>
        </is>
      </c>
      <c r="E8" s="64" t="n">
        <v>1</v>
      </c>
      <c r="F8" s="64" t="n">
        <v>120</v>
      </c>
      <c r="G8" s="64" t="n">
        <v>1</v>
      </c>
      <c r="H8" s="65" t="n">
        <v>120</v>
      </c>
      <c r="I8" s="63" t="inlineStr">
        <is>
          <t>Tout le cycle</t>
        </is>
      </c>
      <c r="J8" s="64" t="inlineStr">
        <is>
          <t>Crédit</t>
        </is>
      </c>
      <c r="K8" s="64" t="inlineStr">
        <is>
          <t>Poids référentiel : 8 %</t>
        </is>
      </c>
      <c r="L8" s="64" t="n"/>
    </row>
    <row r="9" ht="15" customHeight="1" s="46">
      <c r="A9" s="63" t="n">
        <v>5</v>
      </c>
      <c r="B9" s="63" t="inlineStr">
        <is>
          <t>Récolte &amp; post-récolte</t>
        </is>
      </c>
      <c r="C9" s="63" t="inlineStr">
        <is>
          <t>Coût de référence — récolte &amp; post-récolte</t>
        </is>
      </c>
      <c r="D9" s="63" t="inlineStr">
        <is>
          <t>ha</t>
        </is>
      </c>
      <c r="E9" s="64" t="n">
        <v>1</v>
      </c>
      <c r="F9" s="64" t="n">
        <v>180</v>
      </c>
      <c r="G9" s="64" t="n">
        <v>1</v>
      </c>
      <c r="H9" s="65" t="n">
        <v>180</v>
      </c>
      <c r="I9" s="63" t="inlineStr">
        <is>
          <t>Tout le cycle</t>
        </is>
      </c>
      <c r="J9" s="64" t="inlineStr">
        <is>
          <t>Crédit</t>
        </is>
      </c>
      <c r="K9" s="64" t="inlineStr">
        <is>
          <t>Poids référentiel : 12 %</t>
        </is>
      </c>
      <c r="L9" s="64" t="n"/>
    </row>
    <row r="10" ht="54.75" customHeight="1" s="46">
      <c r="A10" s="63" t="n">
        <v>6</v>
      </c>
      <c r="B10" s="63" t="inlineStr">
        <is>
          <t>Logistique</t>
        </is>
      </c>
      <c r="C10" s="63" t="inlineStr">
        <is>
          <t>Coût de référence — logistique</t>
        </is>
      </c>
      <c r="D10" s="63" t="inlineStr">
        <is>
          <t>ha</t>
        </is>
      </c>
      <c r="E10" s="64" t="n">
        <v>1</v>
      </c>
      <c r="F10" s="64" t="n">
        <v>120</v>
      </c>
      <c r="G10" s="64" t="n">
        <v>1</v>
      </c>
      <c r="H10" s="65" t="n">
        <v>120</v>
      </c>
      <c r="I10" s="63" t="inlineStr">
        <is>
          <t>Tout le cycle</t>
        </is>
      </c>
      <c r="J10" s="64" t="inlineStr">
        <is>
          <t>Crédit</t>
        </is>
      </c>
      <c r="K10" s="64" t="inlineStr">
        <is>
          <t>Poids référentiel : 8 %</t>
        </is>
      </c>
      <c r="L10" s="64" t="n"/>
    </row>
    <row r="11" ht="54.75" customHeight="1" s="46">
      <c r="A11" s="63" t="n">
        <v>7</v>
      </c>
      <c r="B11" s="63" t="inlineStr">
        <is>
          <t>Commercialisation</t>
        </is>
      </c>
      <c r="C11" s="63" t="inlineStr">
        <is>
          <t>Coût de référence — commercialisation</t>
        </is>
      </c>
      <c r="D11" s="63" t="inlineStr">
        <is>
          <t>ha</t>
        </is>
      </c>
      <c r="E11" s="64" t="n">
        <v>1</v>
      </c>
      <c r="F11" s="64" t="n">
        <v>45</v>
      </c>
      <c r="G11" s="64" t="n">
        <v>1</v>
      </c>
      <c r="H11" s="65" t="n">
        <v>45</v>
      </c>
      <c r="I11" s="63" t="inlineStr">
        <is>
          <t>Tout le cycle</t>
        </is>
      </c>
      <c r="J11" s="64" t="inlineStr">
        <is>
          <t>Crédit</t>
        </is>
      </c>
      <c r="K11" s="64" t="inlineStr">
        <is>
          <t>Poids référentiel : 3 %</t>
        </is>
      </c>
      <c r="L11" s="64" t="n"/>
    </row>
    <row r="12" ht="54.75" customHeight="1" s="46">
      <c r="A12" s="63" t="n">
        <v>8</v>
      </c>
      <c r="B12" s="63" t="inlineStr">
        <is>
          <t>Réserve d'exploitation</t>
        </is>
      </c>
      <c r="C12" s="63" t="inlineStr">
        <is>
          <t>Coût de référence — réserve d'exploitation</t>
        </is>
      </c>
      <c r="D12" s="63" t="inlineStr">
        <is>
          <t>ha</t>
        </is>
      </c>
      <c r="E12" s="64" t="n">
        <v>1</v>
      </c>
      <c r="F12" s="64" t="n">
        <v>45</v>
      </c>
      <c r="G12" s="64" t="n">
        <v>1</v>
      </c>
      <c r="H12" s="65" t="n">
        <v>45</v>
      </c>
      <c r="I12" s="63" t="inlineStr">
        <is>
          <t>Tout le cycle</t>
        </is>
      </c>
      <c r="J12" s="64" t="inlineStr">
        <is>
          <t>Crédit</t>
        </is>
      </c>
      <c r="K12" s="64" t="inlineStr">
        <is>
          <t>Poids référentiel : 3 %</t>
        </is>
      </c>
      <c r="L12" s="64" t="n"/>
    </row>
    <row r="13" ht="54.75" customHeight="1" s="46">
      <c r="A13" s="63" t="n"/>
      <c r="B13" s="63" t="n"/>
      <c r="C13" s="63" t="n"/>
      <c r="D13" s="63" t="n"/>
      <c r="E13" s="64" t="n"/>
      <c r="F13" s="64" t="n"/>
      <c r="G13" s="64" t="n"/>
      <c r="H13" s="65" t="n"/>
      <c r="I13" s="63" t="n"/>
      <c r="J13" s="64" t="n"/>
      <c r="K13" s="64" t="n"/>
      <c r="L13" s="64" t="n"/>
    </row>
    <row r="14" ht="54.75" customHeight="1" s="46">
      <c r="A14" s="63" t="n"/>
      <c r="B14" s="63" t="n"/>
      <c r="C14" s="63" t="n"/>
      <c r="D14" s="63" t="n"/>
      <c r="E14" s="64" t="n"/>
      <c r="F14" s="64" t="n"/>
      <c r="G14" s="64" t="n"/>
      <c r="H14" s="65" t="n"/>
      <c r="I14" s="63" t="n"/>
      <c r="J14" s="64" t="n"/>
      <c r="K14" s="64" t="n"/>
      <c r="L14" s="64" t="n"/>
    </row>
    <row r="15" ht="54.75" customHeight="1" s="46">
      <c r="A15" s="63" t="n"/>
      <c r="B15" s="63" t="n"/>
      <c r="C15" s="63" t="n"/>
      <c r="D15" s="63" t="n"/>
      <c r="E15" s="64" t="n"/>
      <c r="F15" s="64" t="n"/>
      <c r="G15" s="64" t="n"/>
      <c r="H15" s="65" t="n"/>
      <c r="I15" s="63" t="n"/>
      <c r="J15" s="64" t="n"/>
      <c r="K15" s="64" t="n"/>
      <c r="L15" s="64" t="n"/>
    </row>
    <row r="16" ht="54.75" customHeight="1" s="46">
      <c r="A16" s="63" t="n"/>
      <c r="B16" s="63" t="n"/>
      <c r="C16" s="63" t="n"/>
      <c r="D16" s="63" t="n"/>
      <c r="E16" s="64" t="n"/>
      <c r="F16" s="64" t="n"/>
      <c r="G16" s="64" t="n"/>
      <c r="H16" s="65" t="n"/>
      <c r="I16" s="63" t="n"/>
      <c r="J16" s="64" t="n"/>
      <c r="K16" s="64" t="n"/>
      <c r="L16" s="64" t="n"/>
    </row>
    <row r="17" ht="54.75" customHeight="1" s="46">
      <c r="A17" s="63" t="n"/>
      <c r="B17" s="63" t="n"/>
      <c r="C17" s="63" t="n"/>
      <c r="D17" s="63" t="n"/>
      <c r="E17" s="64" t="n"/>
      <c r="F17" s="64" t="n"/>
      <c r="G17" s="64" t="n"/>
      <c r="H17" s="65" t="n"/>
      <c r="I17" s="63" t="n"/>
      <c r="J17" s="64" t="n"/>
      <c r="K17" s="64" t="n"/>
      <c r="L17" s="64" t="n"/>
    </row>
    <row r="18" ht="54.75" customHeight="1" s="46">
      <c r="A18" s="63" t="n"/>
      <c r="B18" s="63" t="n"/>
      <c r="C18" s="63" t="n"/>
      <c r="D18" s="63" t="n"/>
      <c r="E18" s="64" t="n"/>
      <c r="F18" s="64" t="n"/>
      <c r="G18" s="64" t="n"/>
      <c r="H18" s="65" t="n"/>
      <c r="I18" s="63" t="n"/>
      <c r="J18" s="64" t="n"/>
      <c r="K18" s="64" t="n"/>
      <c r="L18" s="64" t="n"/>
    </row>
    <row r="19" ht="54.75" customHeight="1" s="46">
      <c r="A19" s="63" t="n"/>
      <c r="B19" s="63" t="n"/>
      <c r="C19" s="63" t="n"/>
      <c r="D19" s="63" t="n"/>
      <c r="E19" s="64" t="n"/>
      <c r="F19" s="64" t="n"/>
      <c r="G19" s="64" t="n"/>
      <c r="H19" s="65" t="n"/>
      <c r="I19" s="63" t="n"/>
      <c r="J19" s="64" t="n"/>
      <c r="K19" s="64" t="n"/>
      <c r="L19" s="64" t="n"/>
    </row>
    <row r="20" ht="27.75" customHeight="1" s="46">
      <c r="A20" s="63" t="n"/>
      <c r="B20" s="63" t="n"/>
      <c r="C20" s="63" t="n"/>
      <c r="D20" s="63" t="n"/>
      <c r="E20" s="64" t="n"/>
      <c r="F20" s="64" t="n"/>
      <c r="G20" s="64" t="n"/>
      <c r="H20" s="65" t="n"/>
      <c r="I20" s="63" t="n"/>
      <c r="J20" s="64" t="n"/>
      <c r="K20" s="64" t="n"/>
      <c r="L20" s="64" t="n"/>
    </row>
    <row r="21" ht="27.75" customHeight="1" s="46">
      <c r="A21" s="63" t="n"/>
      <c r="B21" s="63" t="n"/>
      <c r="C21" s="63" t="n"/>
      <c r="D21" s="63" t="n"/>
      <c r="E21" s="64" t="n"/>
      <c r="F21" s="64" t="n"/>
      <c r="G21" s="64" t="n"/>
      <c r="H21" s="65" t="n"/>
      <c r="I21" s="63" t="n"/>
      <c r="J21" s="64" t="n"/>
      <c r="K21" s="64" t="n"/>
      <c r="L21" s="64" t="n"/>
    </row>
    <row r="22" ht="15" customHeight="1" s="46">
      <c r="A22" s="63" t="n"/>
      <c r="B22" s="63" t="n"/>
      <c r="C22" s="63" t="n"/>
      <c r="D22" s="63" t="n"/>
      <c r="E22" s="64" t="n"/>
      <c r="F22" s="64" t="n"/>
      <c r="G22" s="64" t="n"/>
      <c r="H22" s="65" t="n"/>
      <c r="I22" s="63" t="n"/>
      <c r="J22" s="64" t="n"/>
      <c r="K22" s="64" t="n"/>
      <c r="L22" s="64" t="n"/>
    </row>
    <row r="23" ht="15" customHeight="1" s="46">
      <c r="A23" s="63" t="n"/>
      <c r="B23" s="63" t="n"/>
      <c r="C23" s="63" t="n"/>
      <c r="D23" s="63" t="n"/>
      <c r="E23" s="64" t="n"/>
      <c r="F23" s="64" t="n"/>
      <c r="G23" s="64" t="n"/>
      <c r="H23" s="65" t="n"/>
      <c r="I23" s="63" t="n"/>
      <c r="J23" s="64" t="n"/>
      <c r="K23" s="64" t="n"/>
      <c r="L23" s="64" t="n"/>
    </row>
    <row r="24" ht="15" customHeight="1" s="46">
      <c r="A24" s="63" t="n"/>
      <c r="B24" s="63" t="n"/>
      <c r="C24" s="63" t="n"/>
      <c r="D24" s="63" t="n"/>
      <c r="E24" s="64" t="n"/>
      <c r="F24" s="64" t="n"/>
      <c r="G24" s="64" t="n"/>
      <c r="H24" s="65" t="n"/>
      <c r="I24" s="63" t="n"/>
      <c r="J24" s="64" t="n"/>
      <c r="K24" s="64" t="n"/>
      <c r="L24" s="64" t="n"/>
    </row>
    <row r="25" ht="15" customHeight="1" s="46">
      <c r="A25" s="63" t="n"/>
      <c r="B25" s="63" t="n"/>
      <c r="C25" s="63" t="n"/>
      <c r="D25" s="63" t="n"/>
      <c r="E25" s="64" t="n"/>
      <c r="F25" s="64" t="n"/>
      <c r="G25" s="64" t="n"/>
      <c r="H25" s="65" t="n"/>
      <c r="I25" s="63" t="n"/>
      <c r="J25" s="64" t="n"/>
      <c r="K25" s="64" t="n"/>
      <c r="L25" s="64" t="n"/>
    </row>
    <row r="26" ht="15" customHeight="1" s="46">
      <c r="A26" s="63" t="n"/>
      <c r="B26" s="63" t="n"/>
      <c r="C26" s="63" t="n"/>
      <c r="D26" s="63" t="n"/>
      <c r="E26" s="64" t="n"/>
      <c r="F26" s="64" t="n"/>
      <c r="G26" s="64" t="n"/>
      <c r="H26" s="65" t="n"/>
      <c r="I26" s="63" t="n"/>
      <c r="J26" s="64" t="n"/>
      <c r="K26" s="64" t="n"/>
      <c r="L26" s="64" t="n"/>
    </row>
    <row r="27" ht="27.75" customHeight="1" s="46">
      <c r="A27" s="63" t="n"/>
      <c r="B27" s="63" t="n"/>
      <c r="C27" s="63" t="n"/>
      <c r="D27" s="63" t="n"/>
      <c r="E27" s="64" t="n"/>
      <c r="F27" s="64" t="n"/>
      <c r="G27" s="64" t="n"/>
      <c r="H27" s="65" t="n"/>
      <c r="I27" s="63" t="n"/>
      <c r="J27" s="64" t="n"/>
      <c r="K27" s="64" t="n"/>
      <c r="L27" s="64" t="n"/>
    </row>
    <row r="28" ht="27.75" customHeight="1" s="46">
      <c r="A28" s="63" t="n"/>
      <c r="B28" s="63" t="n"/>
      <c r="C28" s="63" t="n"/>
      <c r="D28" s="63" t="n"/>
      <c r="E28" s="64" t="n"/>
      <c r="F28" s="64" t="n"/>
      <c r="G28" s="64" t="n"/>
      <c r="H28" s="65" t="n"/>
      <c r="I28" s="63" t="n"/>
      <c r="J28" s="64" t="n"/>
      <c r="K28" s="64" t="n"/>
      <c r="L28" s="64" t="n"/>
    </row>
    <row r="29" ht="27.75" customHeight="1" s="46">
      <c r="A29" s="63" t="n"/>
      <c r="B29" s="63" t="n"/>
      <c r="C29" s="63" t="n"/>
      <c r="D29" s="63" t="n"/>
      <c r="E29" s="64" t="n"/>
      <c r="F29" s="64" t="n"/>
      <c r="G29" s="64" t="n"/>
      <c r="H29" s="65" t="n"/>
      <c r="I29" s="63" t="n"/>
      <c r="J29" s="64" t="n"/>
      <c r="K29" s="64" t="n"/>
      <c r="L29" s="64" t="n"/>
    </row>
    <row r="30" ht="27.75" customHeight="1" s="46">
      <c r="A30" s="63" t="n"/>
      <c r="B30" s="63" t="n"/>
      <c r="C30" s="63" t="n"/>
      <c r="D30" s="63" t="n"/>
      <c r="E30" s="64" t="n"/>
      <c r="F30" s="64" t="n"/>
      <c r="G30" s="64" t="n"/>
      <c r="H30" s="65" t="n"/>
      <c r="I30" s="63" t="n"/>
      <c r="J30" s="64" t="n"/>
      <c r="K30" s="64" t="n"/>
      <c r="L30" s="64" t="n"/>
    </row>
    <row r="31" ht="15" customHeight="1" s="46">
      <c r="A31" s="63" t="n"/>
      <c r="B31" s="63" t="n"/>
      <c r="C31" s="63" t="n"/>
      <c r="D31" s="63" t="n"/>
      <c r="E31" s="64" t="n"/>
      <c r="F31" s="64" t="n"/>
      <c r="G31" s="64" t="n"/>
      <c r="H31" s="65" t="n"/>
      <c r="I31" s="63" t="n"/>
      <c r="J31" s="64" t="n"/>
      <c r="K31" s="64" t="n"/>
      <c r="L31" s="64" t="n"/>
    </row>
    <row r="32" ht="15" customHeight="1" s="46">
      <c r="A32" s="63" t="n"/>
      <c r="B32" s="63" t="n"/>
      <c r="C32" s="63" t="n"/>
      <c r="D32" s="63" t="n"/>
      <c r="E32" s="64" t="n"/>
      <c r="F32" s="64" t="n"/>
      <c r="G32" s="64" t="n"/>
      <c r="H32" s="65" t="n"/>
      <c r="I32" s="63" t="n"/>
      <c r="J32" s="64" t="n"/>
      <c r="K32" s="64" t="n"/>
      <c r="L32" s="64" t="n"/>
    </row>
    <row r="33" ht="15" customHeight="1" s="46">
      <c r="A33" s="63" t="n"/>
      <c r="B33" s="63" t="n"/>
      <c r="C33" s="63" t="n"/>
      <c r="D33" s="63" t="n"/>
      <c r="E33" s="64" t="n"/>
      <c r="F33" s="64" t="n"/>
      <c r="G33" s="64" t="n"/>
      <c r="H33" s="65" t="n"/>
      <c r="I33" s="63" t="n"/>
      <c r="J33" s="64" t="n"/>
      <c r="K33" s="64" t="n"/>
      <c r="L33" s="64" t="n"/>
    </row>
    <row r="34" ht="15" customHeight="1" s="46">
      <c r="A34" s="63" t="n"/>
      <c r="B34" s="63" t="n"/>
      <c r="C34" s="63" t="n"/>
      <c r="D34" s="63" t="n"/>
      <c r="E34" s="64" t="n"/>
      <c r="F34" s="64" t="n"/>
      <c r="G34" s="64" t="n"/>
      <c r="H34" s="65" t="n"/>
      <c r="I34" s="63" t="n"/>
      <c r="J34" s="64" t="n"/>
      <c r="K34" s="64" t="n"/>
      <c r="L34" s="64" t="n"/>
    </row>
    <row r="35" ht="15" customHeight="1" s="46">
      <c r="A35" s="63" t="n"/>
      <c r="B35" s="63" t="n"/>
      <c r="C35" s="63" t="n"/>
      <c r="D35" s="63" t="n"/>
      <c r="E35" s="64" t="n"/>
      <c r="F35" s="64" t="n"/>
      <c r="G35" s="64" t="n"/>
      <c r="H35" s="65" t="n"/>
      <c r="I35" s="63" t="n"/>
      <c r="J35" s="64" t="n"/>
      <c r="K35" s="64" t="n"/>
      <c r="L35" s="64" t="n"/>
    </row>
    <row r="36" ht="15" customHeight="1" s="46">
      <c r="B36" s="66" t="inlineStr">
        <is>
          <t>TOTAL BESOINS DU CYCLE</t>
        </is>
      </c>
      <c r="H36" s="67" t="n">
        <v>1500</v>
      </c>
    </row>
  </sheetData>
  <mergeCells count="1">
    <mergeCell ref="A1:L1"/>
  </mergeCells>
  <dataValidations count="3">
    <dataValidation sqref="B5:B35" showDropDown="0" showInputMessage="0" showErrorMessage="0" allowBlank="1" type="list" errorStyle="stop" operator="between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sqref="I5:I35" showDropDown="0" showInputMessage="0" showErrorMessage="0" allowBlank="1" type="list" errorStyle="stop" operator="between">
      <formula1>"Préparation,Implantation,Croissance,Entretien,Récolte,Post récolte,Commercialisation,Tout le cycle"</formula1>
      <formula2>0</formula2>
    </dataValidation>
    <dataValidation sqref="J5:J35" showDropDown="0" showInputMessage="0" showErrorMessage="0" allowBlank="1" type="list" errorStyle="stop" operator="between">
      <formula1>"Crédit,Apport,Crédit / Apport"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45" min="1" max="1"/>
    <col width="18" customWidth="1" style="45" min="2" max="3"/>
    <col width="22" customWidth="1" style="45" min="4" max="4"/>
  </cols>
  <sheetData>
    <row r="1" ht="17.25" customHeight="1" s="46">
      <c r="A1" s="47" t="inlineStr">
        <is>
          <t>Synthèse des besoins financiers</t>
        </is>
      </c>
    </row>
    <row r="3" ht="15" customHeight="1" s="46">
      <c r="A3" s="45" t="inlineStr">
        <is>
          <t>Feuille calculée automatiquement — ne rien saisir.</t>
        </is>
      </c>
    </row>
    <row r="4" ht="15" customHeight="1" s="46">
      <c r="A4" s="49" t="inlineStr">
        <is>
          <t>Rubrique</t>
        </is>
      </c>
      <c r="B4" s="49" t="inlineStr">
        <is>
          <t>Total rubrique</t>
        </is>
      </c>
      <c r="C4" s="49" t="inlineStr">
        <is>
          <t>Phase dominante</t>
        </is>
      </c>
      <c r="D4" s="49" t="inlineStr">
        <is>
          <t>Commentaire</t>
        </is>
      </c>
    </row>
    <row r="5" ht="15" customHeight="1" s="46">
      <c r="A5" s="51" t="inlineStr">
        <is>
          <t>Semences &amp; Intrants</t>
        </is>
      </c>
      <c r="B5" s="53" t="n">
        <v>300</v>
      </c>
      <c r="C5" s="57" t="n"/>
      <c r="D5" s="57" t="inlineStr">
        <is>
          <t>20 % du coût de référence</t>
        </is>
      </c>
    </row>
    <row r="6" ht="15" customHeight="1" s="46">
      <c r="A6" s="51" t="inlineStr">
        <is>
          <t>Opérations mécanisées</t>
        </is>
      </c>
      <c r="B6" s="53" t="n">
        <v>270</v>
      </c>
      <c r="C6" s="57" t="n"/>
      <c r="D6" s="57" t="inlineStr">
        <is>
          <t>18 % du coût de référence</t>
        </is>
      </c>
    </row>
    <row r="7" ht="15" customHeight="1" s="46">
      <c r="A7" s="51" t="inlineStr">
        <is>
          <t>Main d'œuvre</t>
        </is>
      </c>
      <c r="B7" s="53" t="n">
        <v>420</v>
      </c>
      <c r="C7" s="57" t="n"/>
      <c r="D7" s="57" t="inlineStr">
        <is>
          <t>28 % du coût de référence</t>
        </is>
      </c>
    </row>
    <row r="8" ht="15" customHeight="1" s="46">
      <c r="A8" s="51" t="inlineStr">
        <is>
          <t>Équipement &amp; petit matériel</t>
        </is>
      </c>
      <c r="B8" s="53" t="n">
        <v>120</v>
      </c>
      <c r="C8" s="57" t="n"/>
      <c r="D8" s="57" t="inlineStr">
        <is>
          <t>8 % du coût de référence</t>
        </is>
      </c>
    </row>
    <row r="9" ht="15" customHeight="1" s="46">
      <c r="A9" s="51" t="inlineStr">
        <is>
          <t>Récolte &amp; post-récolte</t>
        </is>
      </c>
      <c r="B9" s="53" t="n">
        <v>180</v>
      </c>
      <c r="C9" s="57" t="n"/>
      <c r="D9" s="57" t="inlineStr">
        <is>
          <t>12 % du coût de référence</t>
        </is>
      </c>
    </row>
    <row r="10" ht="15" customHeight="1" s="46">
      <c r="A10" s="51" t="inlineStr">
        <is>
          <t>Logistique</t>
        </is>
      </c>
      <c r="B10" s="53" t="n">
        <v>120</v>
      </c>
      <c r="C10" s="57" t="n"/>
      <c r="D10" s="57" t="inlineStr">
        <is>
          <t>8 % du coût de référence</t>
        </is>
      </c>
    </row>
    <row r="11" ht="15" customHeight="1" s="46">
      <c r="A11" s="51" t="inlineStr">
        <is>
          <t>Commercialisation</t>
        </is>
      </c>
      <c r="B11" s="53" t="n">
        <v>45</v>
      </c>
      <c r="C11" s="57" t="n"/>
      <c r="D11" s="57" t="inlineStr">
        <is>
          <t>3 % du coût de référence</t>
        </is>
      </c>
    </row>
    <row r="12" ht="15" customHeight="1" s="46">
      <c r="A12" s="51" t="inlineStr">
        <is>
          <t>Réserve d'exploitation</t>
        </is>
      </c>
      <c r="B12" s="53" t="n">
        <v>45</v>
      </c>
      <c r="C12" s="57" t="n"/>
      <c r="D12" s="57" t="inlineStr">
        <is>
          <t>3 % du coût de référence</t>
        </is>
      </c>
    </row>
    <row r="13" ht="15" customHeight="1" s="46">
      <c r="A13" s="66" t="inlineStr">
        <is>
          <t>TOTAL GENERAL</t>
        </is>
      </c>
      <c r="B13" s="67" t="n">
        <v>1500</v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6" customWidth="1" style="45" min="2" max="2"/>
    <col width="12" customWidth="1" style="45" min="3" max="3"/>
    <col width="26" customWidth="1" style="45" min="4" max="4"/>
  </cols>
  <sheetData>
    <row r="1" ht="17.25" customHeight="1" s="46">
      <c r="A1" s="47" t="inlineStr">
        <is>
          <t>Plan de financement</t>
        </is>
      </c>
    </row>
    <row r="4" ht="15" customHeight="1" s="46">
      <c r="A4" s="49" t="inlineStr">
        <is>
          <t>Rubrique</t>
        </is>
      </c>
      <c r="B4" s="49" t="inlineStr">
        <is>
          <t>Montant</t>
        </is>
      </c>
      <c r="C4" s="49" t="inlineStr">
        <is>
          <t>% du total</t>
        </is>
      </c>
      <c r="D4" s="49" t="inlineStr">
        <is>
          <t>Observations</t>
        </is>
      </c>
    </row>
    <row r="6" ht="15" customHeight="1" s="46">
      <c r="A6" s="51" t="inlineStr">
        <is>
          <t>Total besoins du cycle</t>
        </is>
      </c>
      <c r="B6" s="53">
        <f>5_Synthese_Besoins!B13</f>
        <v/>
      </c>
      <c r="C6" s="57" t="n"/>
      <c r="D6" s="57" t="n"/>
    </row>
    <row r="7" ht="15" customHeight="1" s="46">
      <c r="A7" s="51" t="inlineStr">
        <is>
          <t>Apport propre</t>
        </is>
      </c>
      <c r="B7" s="68">
        <f>2_Identification_Projet!B13</f>
        <v/>
      </c>
      <c r="C7" s="69">
        <f>B7/$B$6</f>
        <v/>
      </c>
      <c r="D7" s="57" t="inlineStr">
        <is>
          <t>Repris de l'onglet 2 (Identification)</t>
        </is>
      </c>
    </row>
    <row r="8" ht="15" customHeight="1" s="46">
      <c r="A8" s="51" t="inlineStr">
        <is>
          <t>Crédit recommandé</t>
        </is>
      </c>
      <c r="B8" s="53">
        <f>B6-B7-B9</f>
        <v/>
      </c>
      <c r="C8" s="69">
        <f>B8/$B$6</f>
        <v/>
      </c>
      <c r="D8" s="57" t="inlineStr">
        <is>
          <t>Montant à financer</t>
        </is>
      </c>
    </row>
    <row r="9" ht="15" customHeight="1" s="46">
      <c r="A9" s="51" t="inlineStr">
        <is>
          <t>Autres concours</t>
        </is>
      </c>
      <c r="B9" s="53" t="n">
        <v>0</v>
      </c>
      <c r="C9" s="69">
        <f>B9/$B$6</f>
        <v/>
      </c>
      <c r="D9" s="57" t="inlineStr">
        <is>
          <t>Subvention / partenaire</t>
        </is>
      </c>
    </row>
    <row r="10" ht="15" customHeight="1" s="46">
      <c r="A10" s="51" t="inlineStr">
        <is>
          <t>Écart à financer</t>
        </is>
      </c>
      <c r="B10" s="53">
        <f>B6-B7-B8-B9</f>
        <v/>
      </c>
      <c r="C10" s="69">
        <f>B10/$B$6</f>
        <v/>
      </c>
      <c r="D10" s="57" t="inlineStr">
        <is>
          <t>Doit tendre vers 0</t>
        </is>
      </c>
    </row>
    <row r="11" ht="15" customHeight="1" s="46">
      <c r="A11" s="45" t="inlineStr">
        <is>
          <t>Mémo : besoins fléchés « Crédit » (col. J, onglet 4)</t>
        </is>
      </c>
      <c r="B11" s="53">
        <f>SUMIF(4_Besoins_Financiers!J:J,"*Crédit*",4_Besoins_Financiers!H:H)</f>
        <v/>
      </c>
      <c r="D11" s="45" t="inlineStr">
        <is>
          <t>Indicatif — à comparer au crédit recommandé</t>
        </is>
      </c>
    </row>
    <row r="12" ht="15" customHeight="1" s="46">
      <c r="A12" s="45" t="inlineStr">
        <is>
          <t>Mémo : crédit dimensionné sur le pic de trésorerie (onglet 16)</t>
        </is>
      </c>
      <c r="B12" s="53">
        <f>16_Tresorerie_Mensuelle!B21</f>
        <v/>
      </c>
      <c r="D12" s="45" t="inlineStr">
        <is>
          <t>Option de dimensionnement — voir onglet 16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5" min="1" max="1"/>
    <col width="28" customWidth="1" style="45" min="2" max="3"/>
    <col width="14" customWidth="1" style="45" min="4" max="4"/>
    <col width="16" customWidth="1" style="45" min="5" max="5"/>
    <col width="20" customWidth="1" style="45" min="6" max="6"/>
    <col width="24" customWidth="1" style="45" min="7" max="7"/>
    <col width="14" customWidth="1" style="45" min="8" max="8"/>
  </cols>
  <sheetData>
    <row r="1" ht="17.25" customHeight="1" s="46">
      <c r="A1" s="47" t="inlineStr">
        <is>
          <t>Plan de décaissement du crédit</t>
        </is>
      </c>
    </row>
    <row r="4" ht="27.75" customHeight="1" s="46">
      <c r="A4" s="49" t="inlineStr">
        <is>
          <t>Tranche</t>
        </is>
      </c>
      <c r="B4" s="49" t="inlineStr">
        <is>
          <t>Objet du décaissement</t>
        </is>
      </c>
      <c r="C4" s="49" t="inlineStr">
        <is>
          <t>Rubrique concernée</t>
        </is>
      </c>
      <c r="D4" s="49" t="inlineStr">
        <is>
          <t>Période</t>
        </is>
      </c>
      <c r="E4" s="49" t="inlineStr">
        <is>
          <t>Montant</t>
        </is>
      </c>
      <c r="F4" s="49" t="inlineStr">
        <is>
          <t>Mode de décaissement</t>
        </is>
      </c>
      <c r="G4" s="49" t="inlineStr">
        <is>
          <t>Condition préalable</t>
        </is>
      </c>
      <c r="H4" s="49" t="inlineStr">
        <is>
          <t>Statut prévu</t>
        </is>
      </c>
    </row>
    <row r="5" ht="27.75" customHeight="1" s="46">
      <c r="A5" s="62" t="n">
        <v>1</v>
      </c>
      <c r="B5" s="62" t="inlineStr">
        <is>
          <t>Intrants + préparation</t>
        </is>
      </c>
      <c r="C5" s="62" t="inlineStr">
        <is>
          <t>Semence &amp; Intrants / opérations mécanisées</t>
        </is>
      </c>
      <c r="D5" s="62" t="inlineStr">
        <is>
          <t>Mois 1</t>
        </is>
      </c>
      <c r="E5" s="70">
        <f>SUMIF(4_Besoins_Financiers!I:I,"Préparation",4_Besoins_Financiers!H:H)</f>
        <v/>
      </c>
      <c r="F5" s="62" t="inlineStr">
        <is>
          <t>Wallet / fournisseur</t>
        </is>
      </c>
      <c r="G5" s="62" t="inlineStr">
        <is>
          <t>Validation dossier</t>
        </is>
      </c>
      <c r="H5" s="62" t="inlineStr">
        <is>
          <t>Prévu</t>
        </is>
      </c>
    </row>
    <row r="6" ht="15" customHeight="1" s="46">
      <c r="A6" s="62" t="n">
        <v>2</v>
      </c>
      <c r="B6" s="62" t="inlineStr">
        <is>
          <t>Implantation et entretien</t>
        </is>
      </c>
      <c r="C6" s="62" t="inlineStr">
        <is>
          <t>Main d'œuvre / intrants / supervision / réserve</t>
        </is>
      </c>
      <c r="D6" s="62" t="inlineStr">
        <is>
          <t>Mois 2 à 4</t>
        </is>
      </c>
      <c r="E6" s="70">
        <f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/>
      </c>
      <c r="F6" s="62" t="inlineStr">
        <is>
          <t>Wallet / cash</t>
        </is>
      </c>
      <c r="G6" s="62" t="inlineStr">
        <is>
          <t>Décaissement tranche 1 OK</t>
        </is>
      </c>
      <c r="H6" s="62" t="inlineStr">
        <is>
          <t>Prévu</t>
        </is>
      </c>
    </row>
    <row r="7" ht="15" customHeight="1" s="46">
      <c r="A7" s="62" t="n">
        <v>3</v>
      </c>
      <c r="B7" s="62" t="inlineStr">
        <is>
          <t>Récolte et commercialisation</t>
        </is>
      </c>
      <c r="C7" s="62" t="inlineStr">
        <is>
          <t>Post-récolte / logistique / vente</t>
        </is>
      </c>
      <c r="D7" s="62" t="inlineStr">
        <is>
          <t>Mois 5 à 6</t>
        </is>
      </c>
      <c r="E7" s="70">
        <f>SUM(SUMIF(4_Besoins_Financiers!I:I,"Récolte",4_Besoins_Financiers!H:H),SUMIF(4_Besoins_Financiers!I:I,"Post récolte",4_Besoins_Financiers!H:H),SUMIF(4_Besoins_Financiers!I:I,"Commercialisation",4_Besoins_Financiers!H:H))</f>
        <v/>
      </c>
      <c r="F7" s="62" t="inlineStr">
        <is>
          <t>Wallet / cash</t>
        </is>
      </c>
      <c r="G7" s="62" t="inlineStr">
        <is>
          <t>Suivi technique positif</t>
        </is>
      </c>
      <c r="H7" s="62" t="inlineStr">
        <is>
          <t>Prévu</t>
        </is>
      </c>
    </row>
    <row r="8" ht="15" customHeight="1" s="46">
      <c r="B8" s="49" t="inlineStr">
        <is>
          <t>TOTAL DÉCAISSEMENTS</t>
        </is>
      </c>
      <c r="E8" s="53">
        <f>SUM(E5:E7)</f>
        <v/>
      </c>
    </row>
    <row r="9" ht="15" customHeight="1" s="46">
      <c r="B9" s="45" t="inlineStr">
        <is>
          <t>Contrôle : total besoins − décaissements</t>
        </is>
      </c>
      <c r="E9" s="53">
        <f>5_Synthese_Besoins!B13-E8</f>
        <v/>
      </c>
      <c r="F9" s="45">
        <f>IF(E9=0,"OK","Écart à corriger")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14" customWidth="1" style="45" min="2" max="2"/>
    <col width="12" customWidth="1" style="45" min="3" max="4"/>
    <col width="16" customWidth="1" style="45" min="5" max="5"/>
    <col width="14" customWidth="1" style="45" min="6" max="6"/>
    <col width="16" customWidth="1" style="45" min="7" max="7"/>
    <col width="12" customWidth="1" style="45" min="8" max="8"/>
    <col width="18" customWidth="1" style="45" min="9" max="9"/>
    <col width="20" customWidth="1" style="45" min="10" max="10"/>
  </cols>
  <sheetData>
    <row r="1" ht="17.25" customHeight="1" s="46">
      <c r="A1" s="47" t="inlineStr">
        <is>
          <t>Prévisions de production et de ventes</t>
        </is>
      </c>
    </row>
    <row r="2" ht="15" customHeight="1" s="46">
      <c r="A2" s="51" t="inlineStr">
        <is>
          <t>Rendement attendu (t/ha)</t>
        </is>
      </c>
      <c r="B2" s="52" t="n"/>
      <c r="C2" s="51" t="inlineStr">
        <is>
          <t>Superficie (ha)</t>
        </is>
      </c>
      <c r="D2" s="71">
        <f>2_Identification_Projet!B8</f>
        <v/>
      </c>
    </row>
    <row r="4" ht="27.75" customHeight="1" s="46">
      <c r="A4" s="49" t="inlineStr">
        <is>
          <t>Produit</t>
        </is>
      </c>
      <c r="B4" s="49" t="inlineStr">
        <is>
          <t>Quantité attendue</t>
        </is>
      </c>
      <c r="C4" s="49" t="inlineStr">
        <is>
          <t>Unité</t>
        </is>
      </c>
      <c r="D4" s="49" t="inlineStr">
        <is>
          <t>Taux de perte</t>
        </is>
      </c>
      <c r="E4" s="49" t="inlineStr">
        <is>
          <t>Quantité vendable</t>
        </is>
      </c>
      <c r="F4" s="49" t="inlineStr">
        <is>
          <t>Prix unitaire</t>
        </is>
      </c>
      <c r="G4" s="49" t="inlineStr">
        <is>
          <t>Recette brute</t>
        </is>
      </c>
      <c r="H4" s="49" t="inlineStr">
        <is>
          <t>Mois de vente</t>
        </is>
      </c>
      <c r="I4" s="49" t="inlineStr">
        <is>
          <t>Modalité de vente</t>
        </is>
      </c>
      <c r="J4" s="49" t="inlineStr">
        <is>
          <t>Observations</t>
        </is>
      </c>
    </row>
    <row r="5" ht="15" customHeight="1" s="46">
      <c r="A5" s="62" t="inlineStr">
        <is>
          <t>Riz</t>
        </is>
      </c>
      <c r="B5" s="71">
        <f>B2*D2</f>
        <v/>
      </c>
      <c r="C5" s="62" t="inlineStr">
        <is>
          <t>tonnes</t>
        </is>
      </c>
      <c r="D5" s="72" t="n"/>
      <c r="E5" s="61">
        <f>B5*(1-D5)</f>
        <v/>
      </c>
      <c r="F5" s="73" t="n"/>
      <c r="G5" s="70">
        <f>E5*F5</f>
        <v/>
      </c>
      <c r="H5" s="60" t="n">
        <v>6</v>
      </c>
      <c r="I5" s="60" t="inlineStr">
        <is>
          <t>Vente comptant</t>
        </is>
      </c>
      <c r="J5" s="62" t="inlineStr">
        <is>
          <t>Hypothèse centrale</t>
        </is>
      </c>
    </row>
    <row r="6" ht="15" customHeight="1" s="46">
      <c r="A6" s="62" t="n"/>
      <c r="B6" s="60" t="n"/>
      <c r="C6" s="62" t="n"/>
      <c r="D6" s="72" t="n"/>
      <c r="E6" s="61" t="n"/>
      <c r="F6" s="73" t="n"/>
      <c r="G6" s="70" t="n"/>
      <c r="H6" s="60" t="n"/>
      <c r="I6" s="60" t="n"/>
      <c r="J6" s="62" t="n"/>
    </row>
    <row r="7" ht="15" customHeight="1" s="46">
      <c r="A7" s="45" t="inlineStr">
        <is>
          <t>Produit 3 (optionnel)</t>
        </is>
      </c>
      <c r="B7" s="52" t="n">
        <v>0</v>
      </c>
      <c r="C7" s="52" t="inlineStr">
        <is>
          <t>tonnes</t>
        </is>
      </c>
      <c r="D7" s="52" t="n">
        <v>0</v>
      </c>
      <c r="E7" s="71">
        <f>B7*(1-D7)</f>
        <v/>
      </c>
      <c r="F7" s="52" t="n">
        <v>0</v>
      </c>
      <c r="G7" s="71">
        <f>E7*F7</f>
        <v/>
      </c>
      <c r="H7" s="52" t="n"/>
      <c r="I7" s="52" t="n"/>
    </row>
    <row r="8" ht="15" customHeight="1" s="46">
      <c r="A8" s="45" t="inlineStr">
        <is>
          <t>Produit 4 (optionnel)</t>
        </is>
      </c>
      <c r="B8" s="52" t="n">
        <v>0</v>
      </c>
      <c r="C8" s="52" t="inlineStr">
        <is>
          <t>tonnes</t>
        </is>
      </c>
      <c r="D8" s="52" t="n">
        <v>0</v>
      </c>
      <c r="E8" s="71">
        <f>B8*(1-D8)</f>
        <v/>
      </c>
      <c r="F8" s="52" t="n">
        <v>0</v>
      </c>
      <c r="G8" s="71">
        <f>E8*F8</f>
        <v/>
      </c>
      <c r="H8" s="52" t="n"/>
      <c r="I8" s="52" t="n"/>
    </row>
    <row r="9" ht="15" customHeight="1" s="46">
      <c r="A9" s="66" t="inlineStr">
        <is>
          <t>TOTAL RECETTES</t>
        </is>
      </c>
      <c r="G9" s="67">
        <f>SUM(G5:G8)</f>
        <v/>
      </c>
    </row>
    <row r="11">
      <c r="A11" t="inlineStr">
        <is>
          <t>RENDEMENT ET PRIX NON RENSEIGNÉS : aucun référentiel AGRICAP ne porte de rendement ni de prix pour cette filière. Tant qu'ils ne sont pas saisis ici, les onglets 9 à 13 et 17 (EBE, DSCR, stress, score) ne veulent rien dire — ils calculent sur des recettes nulles. Le classeur préfère le dire plutôt que de proposer un chiffre.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5" min="1" max="1"/>
    <col width="16" customWidth="1" style="45" min="2" max="2"/>
    <col width="22" customWidth="1" style="45" min="3" max="3"/>
  </cols>
  <sheetData>
    <row r="1" ht="17.25" customHeight="1" s="46">
      <c r="A1" s="47" t="inlineStr">
        <is>
          <t>Compte d'exploitation prévisionnel</t>
        </is>
      </c>
    </row>
    <row r="4" ht="15" customHeight="1" s="46">
      <c r="A4" s="49" t="inlineStr">
        <is>
          <t>Rubrique</t>
        </is>
      </c>
      <c r="B4" s="49" t="inlineStr">
        <is>
          <t>Montant</t>
        </is>
      </c>
      <c r="C4" s="49" t="inlineStr">
        <is>
          <t>Commentaire</t>
        </is>
      </c>
    </row>
    <row r="6" ht="15" customHeight="1" s="46">
      <c r="A6" s="51" t="inlineStr">
        <is>
          <t>Recettes brutes</t>
        </is>
      </c>
      <c r="B6" s="53">
        <f>8_Previsions_Ventes!G9</f>
        <v/>
      </c>
      <c r="C6" s="57" t="n"/>
    </row>
    <row r="7" ht="15" customHeight="1" s="46">
      <c r="A7" s="51" t="inlineStr">
        <is>
          <t>Charges d'exploitation du cycle (hors invest. &amp; réserve)</t>
        </is>
      </c>
      <c r="B7" s="53">
        <f>5_Synthese_Besoins!B13-5_Synthese_Besoins!B8-5_Synthese_Besoins!B12</f>
        <v/>
      </c>
      <c r="C7" s="57" t="inlineStr">
        <is>
          <t>Équipement et réserve exclus (voir mémo)</t>
        </is>
      </c>
    </row>
    <row r="8" ht="15" customHeight="1" s="46">
      <c r="A8" s="51" t="inlineStr">
        <is>
          <t>Excédent brut d'exploitation (EBE)</t>
        </is>
      </c>
      <c r="B8" s="53">
        <f>B6-B7</f>
        <v/>
      </c>
      <c r="C8" s="57" t="n"/>
    </row>
    <row r="9" ht="15" customHeight="1" s="46">
      <c r="A9" s="51" t="inlineStr">
        <is>
          <t>Charges financières (intérêts)</t>
        </is>
      </c>
      <c r="B9" s="53">
        <f>10_Capacite_Remboursement!B9</f>
        <v/>
      </c>
      <c r="C9" s="57" t="n"/>
    </row>
    <row r="10" ht="15" customHeight="1" s="46">
      <c r="A10" s="51" t="inlineStr">
        <is>
          <t>Résultat après charges financières</t>
        </is>
      </c>
      <c r="B10" s="53">
        <f>B8-B9</f>
        <v/>
      </c>
      <c r="C10" s="57" t="n"/>
    </row>
    <row r="11" ht="15" customHeight="1" s="46">
      <c r="A11" s="51" t="inlineStr">
        <is>
          <t>Charges diverses supplémentaires</t>
        </is>
      </c>
      <c r="B11" s="68" t="n">
        <v>0</v>
      </c>
      <c r="C11" s="57" t="inlineStr">
        <is>
          <t>Optionnel</t>
        </is>
      </c>
    </row>
    <row r="12" ht="15" customHeight="1" s="46">
      <c r="A12" s="51" t="inlineStr">
        <is>
          <t>Résultat net prévisionnel</t>
        </is>
      </c>
      <c r="B12" s="53">
        <f>B10-B11</f>
        <v/>
      </c>
      <c r="C12" s="57" t="n"/>
    </row>
    <row r="13" ht="15" customHeight="1" s="46">
      <c r="A13" s="51" t="inlineStr">
        <is>
          <t>Marge nette</t>
        </is>
      </c>
      <c r="B13" s="69">
        <f>IFERROR(B12/B6,0)</f>
        <v/>
      </c>
      <c r="C13" s="57" t="n"/>
    </row>
    <row r="15" ht="15" customHeight="1" s="46">
      <c r="A15" s="45" t="inlineStr">
        <is>
          <t>Mémo — Investissements (équipement)</t>
        </is>
      </c>
      <c r="B15" s="53">
        <f>5_Synthese_Besoins!B8</f>
        <v/>
      </c>
      <c r="C15" s="45" t="inlineStr">
        <is>
          <t>Non imputé aux charges du cycle (amortissable)</t>
        </is>
      </c>
    </row>
    <row r="16" ht="15" customHeight="1" s="46">
      <c r="A16" s="45" t="inlineStr">
        <is>
          <t>Mémo — Réserve d'exploitation</t>
        </is>
      </c>
      <c r="B16" s="53">
        <f>5_Synthese_Besoins!B12</f>
        <v/>
      </c>
      <c r="C16" s="45" t="inlineStr">
        <is>
          <t>Trésorerie de précaution, non une charge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8" customWidth="1" style="45" min="2" max="2"/>
    <col width="26" customWidth="1" style="45" min="3" max="3"/>
  </cols>
  <sheetData>
    <row r="1" ht="17.25" customHeight="1" s="46">
      <c r="A1" s="47" t="inlineStr">
        <is>
          <t>Capacité de remboursement</t>
        </is>
      </c>
    </row>
    <row r="4" ht="15" customHeight="1" s="46">
      <c r="A4" s="49" t="inlineStr">
        <is>
          <t>Indicateur</t>
        </is>
      </c>
      <c r="B4" s="49" t="inlineStr">
        <is>
          <t>Valeur</t>
        </is>
      </c>
      <c r="C4" s="49" t="inlineStr">
        <is>
          <t>Commentaire</t>
        </is>
      </c>
    </row>
    <row r="6" ht="15" customHeight="1" s="46">
      <c r="A6" s="51" t="inlineStr">
        <is>
          <t>Crédit recommandé</t>
        </is>
      </c>
      <c r="B6" s="53">
        <f>6_Plan_Financement!B8</f>
        <v/>
      </c>
      <c r="C6" s="57" t="n"/>
    </row>
    <row r="7" ht="15" customHeight="1" s="46">
      <c r="A7" s="51" t="inlineStr">
        <is>
          <t>Taux d'intérêt annuel</t>
        </is>
      </c>
      <c r="B7" s="69">
        <f>1_Accueil_Parametres!B16</f>
        <v/>
      </c>
      <c r="C7" s="57" t="n"/>
    </row>
    <row r="8" ht="15" customHeight="1" s="46">
      <c r="A8" s="51" t="inlineStr">
        <is>
          <t>Durée du crédit (mois)</t>
        </is>
      </c>
      <c r="B8" s="74">
        <f>1_Accueil_Parametres!B17</f>
        <v/>
      </c>
      <c r="C8" s="57" t="n"/>
    </row>
    <row r="9" ht="15" customHeight="1" s="46">
      <c r="A9" s="51" t="inlineStr">
        <is>
          <t>Intérêts totaux (dégressifs, capital restant dû)</t>
        </is>
      </c>
      <c r="B9" s="53">
        <f>11_Echeancier!D29</f>
        <v/>
      </c>
      <c r="C9" s="57" t="n"/>
    </row>
    <row r="10" ht="15" customHeight="1" s="46">
      <c r="A10" s="51" t="inlineStr">
        <is>
          <t>Service de la dette (capital + intérêts)</t>
        </is>
      </c>
      <c r="B10" s="53">
        <f>B6+B9</f>
        <v/>
      </c>
      <c r="C10" s="57" t="n"/>
    </row>
    <row r="11" ht="15" customHeight="1" s="46">
      <c r="A11" s="51" t="inlineStr">
        <is>
          <t>EBE prévisionnel (avant charges financières)</t>
        </is>
      </c>
      <c r="B11" s="53">
        <f>9_Compte_Exploitation!B8</f>
        <v/>
      </c>
      <c r="C11" s="57" t="n"/>
    </row>
    <row r="12" ht="15" customHeight="1" s="46">
      <c r="A12" s="51" t="inlineStr">
        <is>
          <t>DSCR (EBE / service de la dette)</t>
        </is>
      </c>
      <c r="B12" s="54">
        <f>IFERROR(B11/B10,0)</f>
        <v/>
      </c>
      <c r="C12" s="57" t="n"/>
    </row>
    <row r="13" ht="15" customHeight="1" s="46">
      <c r="A13" s="51" t="inlineStr">
        <is>
          <t>Marge de trésorerie après service de la dette</t>
        </is>
      </c>
      <c r="B13" s="69">
        <f>B11-B10</f>
        <v/>
      </c>
      <c r="C13" s="57" t="n"/>
    </row>
    <row r="14" ht="15" customHeight="1" s="46">
      <c r="A14" s="51" t="inlineStr">
        <is>
          <t>Avis automatique</t>
        </is>
      </c>
      <c r="B14" s="71">
        <f>IF(B12&gt;=1_Accueil_Parametres!B22,"Capacité satisfaisante",IF(B12&gt;=1,"Capacité limite — à sécuriser","Capacité insuffisante"))</f>
        <v/>
      </c>
      <c r="C14" s="57" t="n"/>
    </row>
    <row r="15" ht="15" customHeight="1" s="46">
      <c r="A15" s="45" t="inlineStr">
        <is>
          <t>Différé de remboursement (mois)</t>
        </is>
      </c>
      <c r="B15" s="71">
        <f>1_Accueil_Parametres!B20</f>
        <v/>
      </c>
      <c r="C15" s="45" t="inlineStr">
        <is>
          <t>Paramètre onglet 1</t>
        </is>
      </c>
    </row>
    <row r="17" ht="15" customHeight="1" s="46">
      <c r="A17" s="45" t="inlineStr">
        <is>
          <t>Frais de dossier (taux)</t>
        </is>
      </c>
      <c r="B17" s="56" t="n">
        <v>0.02</v>
      </c>
    </row>
    <row r="18" ht="15" customHeight="1" s="46">
      <c r="A18" s="45" t="inlineStr">
        <is>
          <t>Commissions &amp; assurance (taux)</t>
        </is>
      </c>
      <c r="B18" s="56" t="n">
        <v>0.01</v>
      </c>
    </row>
    <row r="19" ht="15" customHeight="1" s="46">
      <c r="A19" s="45" t="inlineStr">
        <is>
          <t>Frais totaux</t>
        </is>
      </c>
      <c r="B19" s="53">
        <f>B6*(B17+B18)</f>
        <v/>
      </c>
    </row>
    <row r="20" ht="15" customHeight="1" s="46">
      <c r="A20" s="45" t="inlineStr">
        <is>
          <t>Coût total du crédit (intérêts + frais)</t>
        </is>
      </c>
      <c r="B20" s="53">
        <f>B9+B19</f>
        <v/>
      </c>
    </row>
    <row r="21" ht="15" customHeight="1" s="46">
      <c r="A21" s="45" t="inlineStr">
        <is>
          <t>TEG approximatif (annualisé)</t>
        </is>
      </c>
      <c r="B21" s="69">
        <f>IFERROR(B20/B6*12/B8,0)</f>
        <v/>
      </c>
      <c r="C21" s="45" t="inlineStr">
        <is>
          <t>Transparence : à afficher au client dans l'application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5" min="1" max="1"/>
    <col width="14" customWidth="1" style="45" min="2" max="5"/>
    <col width="18" customWidth="1" style="45" min="6" max="6"/>
    <col width="22" customWidth="1" style="45" min="7" max="7"/>
    <col width="12" customWidth="1" style="45" min="8" max="8"/>
  </cols>
  <sheetData>
    <row r="1" ht="17.25" customHeight="1" s="46">
      <c r="A1" s="47" t="inlineStr">
        <is>
          <t>Échéancier proposé de remboursement</t>
        </is>
      </c>
    </row>
    <row r="3" ht="15" customHeight="1" s="46">
      <c r="A3" s="45" t="inlineStr">
        <is>
          <t>Intérêt mensuel calculé sur le capital restant dû (dégressif). Pendant le différé, les intérêts courent et sont capitalisés à la première échéance de remboursement.</t>
        </is>
      </c>
    </row>
    <row r="4" ht="27.75" customHeight="1" s="46">
      <c r="A4" s="49" t="inlineStr">
        <is>
          <t>Échéance</t>
        </is>
      </c>
      <c r="B4" s="49" t="inlineStr">
        <is>
          <t>Date</t>
        </is>
      </c>
      <c r="C4" s="49" t="inlineStr">
        <is>
          <t>Principal</t>
        </is>
      </c>
      <c r="D4" s="49" t="inlineStr">
        <is>
          <t>Intérêt</t>
        </is>
      </c>
      <c r="E4" s="49" t="inlineStr">
        <is>
          <t>Total</t>
        </is>
      </c>
      <c r="F4" s="49" t="inlineStr">
        <is>
          <t>Solde restant dû</t>
        </is>
      </c>
      <c r="G4" s="49" t="inlineStr">
        <is>
          <t>Source de remboursement</t>
        </is>
      </c>
      <c r="H4" s="49" t="inlineStr">
        <is>
          <t>Statut</t>
        </is>
      </c>
    </row>
    <row r="5" ht="15" customHeight="1" s="46">
      <c r="A5" s="57" t="n">
        <v>1</v>
      </c>
      <c r="B5" s="75">
        <f>EDATE(1_Accueil_Parametres!$B$14,1)</f>
        <v/>
      </c>
      <c r="C5" s="53">
        <f>IF(AND(A5&gt;1_Accueil_Parametres!$B$20,A5&lt;=1_Accueil_Parametres!$B$17),6_Plan_Financement!$B$8/MAX(1_Accueil_Parametres!$B$17-1_Accueil_Parametres!$B$20,1),0)</f>
        <v/>
      </c>
      <c r="D5" s="53">
        <f>IF(OR(A5&lt;=1_Accueil_Parametres!$B$20,A5&gt;1_Accueil_Parametres!$B$17),0,6_Plan_Financement!$B$8*1_Accueil_Parametres!$B$16/12+IF(A5=1_Accueil_Parametres!$B$20+1,6_Plan_Financement!$B$8*1_Accueil_Parametres!$B$16/12*1_Accueil_Parametres!$B$20,0))</f>
        <v/>
      </c>
      <c r="E5" s="53">
        <f>C5+D5</f>
        <v/>
      </c>
      <c r="F5" s="53">
        <f>6_Plan_Financement!$B$8-C5</f>
        <v/>
      </c>
      <c r="G5" s="57">
        <f>IF(A5&gt;1_Accueil_Parametres!$B$17,"—",IF(A5&lt;=1_Accueil_Parametres!$B$20,"Différé — intérêts capitalisés","Ventes du cycle"))</f>
        <v/>
      </c>
      <c r="H5" s="57">
        <f>IF(A5&gt;1_Accueil_Parametres!$B$17,"—","Prévu")</f>
        <v/>
      </c>
    </row>
    <row r="6" ht="15" customHeight="1" s="46">
      <c r="A6" s="57" t="n">
        <v>2</v>
      </c>
      <c r="B6" s="75">
        <f>EDATE(1_Accueil_Parametres!$B$14,2)</f>
        <v/>
      </c>
      <c r="C6" s="53">
        <f>IF(AND(A6&gt;1_Accueil_Parametres!$B$20,A6&lt;=1_Accueil_Parametres!$B$17),6_Plan_Financement!$B$8/MAX(1_Accueil_Parametres!$B$17-1_Accueil_Parametres!$B$20,1),0)</f>
        <v/>
      </c>
      <c r="D6" s="53">
        <f>IF(OR(A6&lt;=1_Accueil_Parametres!$B$20,A6&gt;1_Accueil_Parametres!$B$17),0,F5*1_Accueil_Parametres!$B$16/12+IF(A6=1_Accueil_Parametres!$B$20+1,6_Plan_Financement!$B$8*1_Accueil_Parametres!$B$16/12*1_Accueil_Parametres!$B$20,0))</f>
        <v/>
      </c>
      <c r="E6" s="53">
        <f>C6+D6</f>
        <v/>
      </c>
      <c r="F6" s="53">
        <f>F5-C6</f>
        <v/>
      </c>
      <c r="G6" s="57">
        <f>IF(A6&gt;1_Accueil_Parametres!$B$17,"—",IF(A6&lt;=1_Accueil_Parametres!$B$20,"Différé — intérêts capitalisés","Ventes du cycle"))</f>
        <v/>
      </c>
      <c r="H6" s="57">
        <f>IF(A6&gt;1_Accueil_Parametres!$B$17,"—","Prévu")</f>
        <v/>
      </c>
    </row>
    <row r="7" ht="15" customHeight="1" s="46">
      <c r="A7" s="57" t="n">
        <v>3</v>
      </c>
      <c r="B7" s="75">
        <f>EDATE(1_Accueil_Parametres!$B$14,3)</f>
        <v/>
      </c>
      <c r="C7" s="53">
        <f>IF(AND(A7&gt;1_Accueil_Parametres!$B$20,A7&lt;=1_Accueil_Parametres!$B$17),6_Plan_Financement!$B$8/MAX(1_Accueil_Parametres!$B$17-1_Accueil_Parametres!$B$20,1),0)</f>
        <v/>
      </c>
      <c r="D7" s="53">
        <f>IF(OR(A7&lt;=1_Accueil_Parametres!$B$20,A7&gt;1_Accueil_Parametres!$B$17),0,F6*1_Accueil_Parametres!$B$16/12+IF(A7=1_Accueil_Parametres!$B$20+1,6_Plan_Financement!$B$8*1_Accueil_Parametres!$B$16/12*1_Accueil_Parametres!$B$20,0))</f>
        <v/>
      </c>
      <c r="E7" s="53">
        <f>C7+D7</f>
        <v/>
      </c>
      <c r="F7" s="53">
        <f>F6-C7</f>
        <v/>
      </c>
      <c r="G7" s="57">
        <f>IF(A7&gt;1_Accueil_Parametres!$B$17,"—",IF(A7&lt;=1_Accueil_Parametres!$B$20,"Différé — intérêts capitalisés","Ventes du cycle"))</f>
        <v/>
      </c>
      <c r="H7" s="57">
        <f>IF(A7&gt;1_Accueil_Parametres!$B$17,"—","Prévu")</f>
        <v/>
      </c>
    </row>
    <row r="8" ht="15" customHeight="1" s="46">
      <c r="A8" s="57" t="n">
        <v>4</v>
      </c>
      <c r="B8" s="75">
        <f>EDATE(1_Accueil_Parametres!$B$14,4)</f>
        <v/>
      </c>
      <c r="C8" s="53">
        <f>IF(AND(A8&gt;1_Accueil_Parametres!$B$20,A8&lt;=1_Accueil_Parametres!$B$17),6_Plan_Financement!$B$8/MAX(1_Accueil_Parametres!$B$17-1_Accueil_Parametres!$B$20,1),0)</f>
        <v/>
      </c>
      <c r="D8" s="53">
        <f>IF(OR(A8&lt;=1_Accueil_Parametres!$B$20,A8&gt;1_Accueil_Parametres!$B$17),0,F7*1_Accueil_Parametres!$B$16/12+IF(A8=1_Accueil_Parametres!$B$20+1,6_Plan_Financement!$B$8*1_Accueil_Parametres!$B$16/12*1_Accueil_Parametres!$B$20,0))</f>
        <v/>
      </c>
      <c r="E8" s="53">
        <f>C8+D8</f>
        <v/>
      </c>
      <c r="F8" s="53">
        <f>F7-C8</f>
        <v/>
      </c>
      <c r="G8" s="57">
        <f>IF(A8&gt;1_Accueil_Parametres!$B$17,"—",IF(A8&lt;=1_Accueil_Parametres!$B$20,"Différé — intérêts capitalisés","Ventes du cycle"))</f>
        <v/>
      </c>
      <c r="H8" s="57">
        <f>IF(A8&gt;1_Accueil_Parametres!$B$17,"—","Prévu")</f>
        <v/>
      </c>
    </row>
    <row r="9" ht="15" customHeight="1" s="46">
      <c r="A9" s="57" t="n">
        <v>5</v>
      </c>
      <c r="B9" s="75">
        <f>EDATE(1_Accueil_Parametres!$B$14,5)</f>
        <v/>
      </c>
      <c r="C9" s="53">
        <f>IF(AND(A9&gt;1_Accueil_Parametres!$B$20,A9&lt;=1_Accueil_Parametres!$B$17),6_Plan_Financement!$B$8/MAX(1_Accueil_Parametres!$B$17-1_Accueil_Parametres!$B$20,1),0)</f>
        <v/>
      </c>
      <c r="D9" s="53">
        <f>IF(OR(A9&lt;=1_Accueil_Parametres!$B$20,A9&gt;1_Accueil_Parametres!$B$17),0,F8*1_Accueil_Parametres!$B$16/12+IF(A9=1_Accueil_Parametres!$B$20+1,6_Plan_Financement!$B$8*1_Accueil_Parametres!$B$16/12*1_Accueil_Parametres!$B$20,0))</f>
        <v/>
      </c>
      <c r="E9" s="53">
        <f>C9+D9</f>
        <v/>
      </c>
      <c r="F9" s="53">
        <f>F8-C9</f>
        <v/>
      </c>
      <c r="G9" s="57">
        <f>IF(A9&gt;1_Accueil_Parametres!$B$17,"—",IF(A9&lt;=1_Accueil_Parametres!$B$20,"Différé — intérêts capitalisés","Ventes du cycle"))</f>
        <v/>
      </c>
      <c r="H9" s="57">
        <f>IF(A9&gt;1_Accueil_Parametres!$B$17,"—","Prévu")</f>
        <v/>
      </c>
    </row>
    <row r="10" ht="15" customHeight="1" s="46">
      <c r="A10" s="57" t="n">
        <v>6</v>
      </c>
      <c r="B10" s="75">
        <f>EDATE(1_Accueil_Parametres!$B$14,6)</f>
        <v/>
      </c>
      <c r="C10" s="53">
        <f>IF(AND(A10&gt;1_Accueil_Parametres!$B$20,A10&lt;=1_Accueil_Parametres!$B$17),6_Plan_Financement!$B$8/MAX(1_Accueil_Parametres!$B$17-1_Accueil_Parametres!$B$20,1),0)</f>
        <v/>
      </c>
      <c r="D10" s="53">
        <f>IF(OR(A10&lt;=1_Accueil_Parametres!$B$20,A10&gt;1_Accueil_Parametres!$B$17),0,F9*1_Accueil_Parametres!$B$16/12+IF(A10=1_Accueil_Parametres!$B$20+1,6_Plan_Financement!$B$8*1_Accueil_Parametres!$B$16/12*1_Accueil_Parametres!$B$20,0))</f>
        <v/>
      </c>
      <c r="E10" s="53">
        <f>C10+D10</f>
        <v/>
      </c>
      <c r="F10" s="53">
        <f>F9-C10</f>
        <v/>
      </c>
      <c r="G10" s="57">
        <f>IF(A10&gt;1_Accueil_Parametres!$B$17,"—",IF(A10&lt;=1_Accueil_Parametres!$B$20,"Différé — intérêts capitalisés","Ventes du cycle"))</f>
        <v/>
      </c>
      <c r="H10" s="57">
        <f>IF(A10&gt;1_Accueil_Parametres!$B$17,"—","Prévu")</f>
        <v/>
      </c>
    </row>
    <row r="11" ht="15" customHeight="1" s="46">
      <c r="A11" s="57" t="n">
        <v>7</v>
      </c>
      <c r="B11" s="75">
        <f>EDATE(1_Accueil_Parametres!$B$14,7)</f>
        <v/>
      </c>
      <c r="C11" s="53">
        <f>IF(AND(A11&gt;1_Accueil_Parametres!$B$20,A11&lt;=1_Accueil_Parametres!$B$17),6_Plan_Financement!$B$8/MAX(1_Accueil_Parametres!$B$17-1_Accueil_Parametres!$B$20,1),0)</f>
        <v/>
      </c>
      <c r="D11" s="53">
        <f>IF(OR(A11&lt;=1_Accueil_Parametres!$B$20,A11&gt;1_Accueil_Parametres!$B$17),0,F10*1_Accueil_Parametres!$B$16/12+IF(A11=1_Accueil_Parametres!$B$20+1,6_Plan_Financement!$B$8*1_Accueil_Parametres!$B$16/12*1_Accueil_Parametres!$B$20,0))</f>
        <v/>
      </c>
      <c r="E11" s="53">
        <f>C11+D11</f>
        <v/>
      </c>
      <c r="F11" s="53">
        <f>F10-C11</f>
        <v/>
      </c>
      <c r="G11" s="57">
        <f>IF(A11&gt;1_Accueil_Parametres!$B$17,"—",IF(A11&lt;=1_Accueil_Parametres!$B$20,"Différé — intérêts capitalisés","Ventes du cycle"))</f>
        <v/>
      </c>
      <c r="H11" s="57">
        <f>IF(A11&gt;1_Accueil_Parametres!$B$17,"—","Prévu")</f>
        <v/>
      </c>
    </row>
    <row r="12" ht="15" customHeight="1" s="46">
      <c r="A12" s="57" t="n">
        <v>8</v>
      </c>
      <c r="B12" s="75">
        <f>EDATE(1_Accueil_Parametres!$B$14,8)</f>
        <v/>
      </c>
      <c r="C12" s="53">
        <f>IF(AND(A12&gt;1_Accueil_Parametres!$B$20,A12&lt;=1_Accueil_Parametres!$B$17),6_Plan_Financement!$B$8/MAX(1_Accueil_Parametres!$B$17-1_Accueil_Parametres!$B$20,1),0)</f>
        <v/>
      </c>
      <c r="D12" s="53">
        <f>IF(OR(A12&lt;=1_Accueil_Parametres!$B$20,A12&gt;1_Accueil_Parametres!$B$17),0,F11*1_Accueil_Parametres!$B$16/12+IF(A12=1_Accueil_Parametres!$B$20+1,6_Plan_Financement!$B$8*1_Accueil_Parametres!$B$16/12*1_Accueil_Parametres!$B$20,0))</f>
        <v/>
      </c>
      <c r="E12" s="53">
        <f>C12+D12</f>
        <v/>
      </c>
      <c r="F12" s="53">
        <f>F11-C12</f>
        <v/>
      </c>
      <c r="G12" s="57">
        <f>IF(A12&gt;1_Accueil_Parametres!$B$17,"—",IF(A12&lt;=1_Accueil_Parametres!$B$20,"Différé — intérêts capitalisés","Ventes du cycle"))</f>
        <v/>
      </c>
      <c r="H12" s="57">
        <f>IF(A12&gt;1_Accueil_Parametres!$B$17,"—","Prévu")</f>
        <v/>
      </c>
    </row>
    <row r="13" ht="15" customHeight="1" s="46">
      <c r="A13" s="45" t="n">
        <v>9</v>
      </c>
      <c r="B13" s="76">
        <f>EDATE(1_Accueil_Parametres!$B$14,9)</f>
        <v/>
      </c>
      <c r="C13" s="77">
        <f>IF(AND(A13&gt;1_Accueil_Parametres!$B$20,A13&lt;=1_Accueil_Parametres!$B$17),6_Plan_Financement!$B$8/MAX(1_Accueil_Parametres!$B$17-1_Accueil_Parametres!$B$20,1),0)</f>
        <v/>
      </c>
      <c r="D13" s="77">
        <f>IF(OR(A13&lt;=1_Accueil_Parametres!$B$20,A13&gt;1_Accueil_Parametres!$B$17),0,F12*1_Accueil_Parametres!$B$16/12+IF(A13=1_Accueil_Parametres!$B$20+1,6_Plan_Financement!$B$8*1_Accueil_Parametres!$B$16/12*1_Accueil_Parametres!$B$20,0))</f>
        <v/>
      </c>
      <c r="E13" s="77">
        <f>C13+D13</f>
        <v/>
      </c>
      <c r="F13" s="77">
        <f>F12-C13</f>
        <v/>
      </c>
      <c r="G13" s="45">
        <f>IF(A13&gt;1_Accueil_Parametres!$B$17,"—",IF(A13&lt;=1_Accueil_Parametres!$B$20,"Différé — intérêts capitalisés","Ventes du cycle"))</f>
        <v/>
      </c>
      <c r="H13" s="45">
        <f>IF(A13&gt;1_Accueil_Parametres!$B$17,"—","Prévu")</f>
        <v/>
      </c>
    </row>
    <row r="14" ht="15" customHeight="1" s="46">
      <c r="A14" s="45" t="n">
        <v>10</v>
      </c>
      <c r="B14" s="76">
        <f>EDATE(1_Accueil_Parametres!$B$14,10)</f>
        <v/>
      </c>
      <c r="C14" s="77">
        <f>IF(AND(A14&gt;1_Accueil_Parametres!$B$20,A14&lt;=1_Accueil_Parametres!$B$17),6_Plan_Financement!$B$8/MAX(1_Accueil_Parametres!$B$17-1_Accueil_Parametres!$B$20,1),0)</f>
        <v/>
      </c>
      <c r="D14" s="77">
        <f>IF(OR(A14&lt;=1_Accueil_Parametres!$B$20,A14&gt;1_Accueil_Parametres!$B$17),0,F13*1_Accueil_Parametres!$B$16/12+IF(A14=1_Accueil_Parametres!$B$20+1,6_Plan_Financement!$B$8*1_Accueil_Parametres!$B$16/12*1_Accueil_Parametres!$B$20,0))</f>
        <v/>
      </c>
      <c r="E14" s="77">
        <f>C14+D14</f>
        <v/>
      </c>
      <c r="F14" s="77">
        <f>F13-C14</f>
        <v/>
      </c>
      <c r="G14" s="45">
        <f>IF(A14&gt;1_Accueil_Parametres!$B$17,"—",IF(A14&lt;=1_Accueil_Parametres!$B$20,"Différé — intérêts capitalisés","Ventes du cycle"))</f>
        <v/>
      </c>
      <c r="H14" s="45">
        <f>IF(A14&gt;1_Accueil_Parametres!$B$17,"—","Prévu")</f>
        <v/>
      </c>
    </row>
    <row r="15" ht="15" customHeight="1" s="46">
      <c r="A15" s="45" t="n">
        <v>11</v>
      </c>
      <c r="B15" s="76">
        <f>EDATE(1_Accueil_Parametres!$B$14,11)</f>
        <v/>
      </c>
      <c r="C15" s="77">
        <f>IF(AND(A15&gt;1_Accueil_Parametres!$B$20,A15&lt;=1_Accueil_Parametres!$B$17),6_Plan_Financement!$B$8/MAX(1_Accueil_Parametres!$B$17-1_Accueil_Parametres!$B$20,1),0)</f>
        <v/>
      </c>
      <c r="D15" s="77">
        <f>IF(OR(A15&lt;=1_Accueil_Parametres!$B$20,A15&gt;1_Accueil_Parametres!$B$17),0,F14*1_Accueil_Parametres!$B$16/12+IF(A15=1_Accueil_Parametres!$B$20+1,6_Plan_Financement!$B$8*1_Accueil_Parametres!$B$16/12*1_Accueil_Parametres!$B$20,0))</f>
        <v/>
      </c>
      <c r="E15" s="77">
        <f>C15+D15</f>
        <v/>
      </c>
      <c r="F15" s="77">
        <f>F14-C15</f>
        <v/>
      </c>
      <c r="G15" s="45">
        <f>IF(A15&gt;1_Accueil_Parametres!$B$17,"—",IF(A15&lt;=1_Accueil_Parametres!$B$20,"Différé — intérêts capitalisés","Ventes du cycle"))</f>
        <v/>
      </c>
      <c r="H15" s="45">
        <f>IF(A15&gt;1_Accueil_Parametres!$B$17,"—","Prévu")</f>
        <v/>
      </c>
    </row>
    <row r="16" ht="15" customHeight="1" s="46">
      <c r="A16" s="45" t="n">
        <v>12</v>
      </c>
      <c r="B16" s="76">
        <f>EDATE(1_Accueil_Parametres!$B$14,12)</f>
        <v/>
      </c>
      <c r="C16" s="77">
        <f>IF(AND(A16&gt;1_Accueil_Parametres!$B$20,A16&lt;=1_Accueil_Parametres!$B$17),6_Plan_Financement!$B$8/MAX(1_Accueil_Parametres!$B$17-1_Accueil_Parametres!$B$20,1),0)</f>
        <v/>
      </c>
      <c r="D16" s="77">
        <f>IF(OR(A16&lt;=1_Accueil_Parametres!$B$20,A16&gt;1_Accueil_Parametres!$B$17),0,F15*1_Accueil_Parametres!$B$16/12+IF(A16=1_Accueil_Parametres!$B$20+1,6_Plan_Financement!$B$8*1_Accueil_Parametres!$B$16/12*1_Accueil_Parametres!$B$20,0))</f>
        <v/>
      </c>
      <c r="E16" s="77">
        <f>C16+D16</f>
        <v/>
      </c>
      <c r="F16" s="77">
        <f>F15-C16</f>
        <v/>
      </c>
      <c r="G16" s="45">
        <f>IF(A16&gt;1_Accueil_Parametres!$B$17,"—",IF(A16&lt;=1_Accueil_Parametres!$B$20,"Différé — intérêts capitalisés","Ventes du cycle"))</f>
        <v/>
      </c>
      <c r="H16" s="45">
        <f>IF(A16&gt;1_Accueil_Parametres!$B$17,"—","Prévu")</f>
        <v/>
      </c>
    </row>
    <row r="17" ht="15" customHeight="1" s="46">
      <c r="A17" s="45" t="n">
        <v>13</v>
      </c>
      <c r="B17" s="78">
        <f>EDATE(1_Accueil_Parametres!$B$14,13)</f>
        <v/>
      </c>
      <c r="C17" s="53">
        <f>IF(AND(A17&gt;1_Accueil_Parametres!$B$20,A17&lt;=1_Accueil_Parametres!$B$17),6_Plan_Financement!$B$8/MAX(1_Accueil_Parametres!$B$17-1_Accueil_Parametres!$B$20,1),0)</f>
        <v/>
      </c>
      <c r="D17" s="53">
        <f>IF(OR(A17&lt;=1_Accueil_Parametres!$B$20,A17&gt;1_Accueil_Parametres!$B$17),0,F16*1_Accueil_Parametres!$B$16/12+IF(A17=1_Accueil_Parametres!$B$20+1,6_Plan_Financement!$B$8*1_Accueil_Parametres!$B$16/12*1_Accueil_Parametres!$B$20,0))</f>
        <v/>
      </c>
      <c r="E17" s="53">
        <f>C17+D17</f>
        <v/>
      </c>
      <c r="F17" s="77">
        <f>F16-C17</f>
        <v/>
      </c>
      <c r="G17" s="45">
        <f>IF(A17&gt;1_Accueil_Parametres!$B$17,"—",IF(A17&lt;=1_Accueil_Parametres!$B$20,"Différé — intérêts capitalisés","Ventes du cycle"))</f>
        <v/>
      </c>
      <c r="H17" s="45">
        <f>IF(A17&gt;1_Accueil_Parametres!$B$17,"—","Prévu")</f>
        <v/>
      </c>
    </row>
    <row r="18" ht="15" customHeight="1" s="46">
      <c r="A18" s="45" t="n">
        <v>14</v>
      </c>
      <c r="B18" s="76">
        <f>EDATE(1_Accueil_Parametres!$B$14,14)</f>
        <v/>
      </c>
      <c r="C18" s="77">
        <f>IF(AND(A18&gt;1_Accueil_Parametres!$B$20,A18&lt;=1_Accueil_Parametres!$B$17),6_Plan_Financement!$B$8/MAX(1_Accueil_Parametres!$B$17-1_Accueil_Parametres!$B$20,1),0)</f>
        <v/>
      </c>
      <c r="D18" s="77">
        <f>IF(OR(A18&lt;=1_Accueil_Parametres!$B$20,A18&gt;1_Accueil_Parametres!$B$17),0,F17*1_Accueil_Parametres!$B$16/12+IF(A18=1_Accueil_Parametres!$B$20+1,6_Plan_Financement!$B$8*1_Accueil_Parametres!$B$16/12*1_Accueil_Parametres!$B$20,0))</f>
        <v/>
      </c>
      <c r="E18" s="77">
        <f>C18+D18</f>
        <v/>
      </c>
      <c r="F18" s="77">
        <f>F17-C18</f>
        <v/>
      </c>
      <c r="G18" s="45">
        <f>IF(A18&gt;1_Accueil_Parametres!$B$17,"—",IF(A18&lt;=1_Accueil_Parametres!$B$20,"Différé — intérêts capitalisés","Ventes du cycle"))</f>
        <v/>
      </c>
      <c r="H18" s="45">
        <f>IF(A18&gt;1_Accueil_Parametres!$B$17,"—","Prévu")</f>
        <v/>
      </c>
    </row>
    <row r="19" ht="15" customHeight="1" s="46">
      <c r="A19" s="45" t="n">
        <v>15</v>
      </c>
      <c r="B19" s="76">
        <f>EDATE(1_Accueil_Parametres!$B$14,15)</f>
        <v/>
      </c>
      <c r="C19" s="77">
        <f>IF(AND(A19&gt;1_Accueil_Parametres!$B$20,A19&lt;=1_Accueil_Parametres!$B$17),6_Plan_Financement!$B$8/MAX(1_Accueil_Parametres!$B$17-1_Accueil_Parametres!$B$20,1),0)</f>
        <v/>
      </c>
      <c r="D19" s="77">
        <f>IF(OR(A19&lt;=1_Accueil_Parametres!$B$20,A19&gt;1_Accueil_Parametres!$B$17),0,F18*1_Accueil_Parametres!$B$16/12+IF(A19=1_Accueil_Parametres!$B$20+1,6_Plan_Financement!$B$8*1_Accueil_Parametres!$B$16/12*1_Accueil_Parametres!$B$20,0))</f>
        <v/>
      </c>
      <c r="E19" s="77">
        <f>C19+D19</f>
        <v/>
      </c>
      <c r="F19" s="77">
        <f>F18-C19</f>
        <v/>
      </c>
      <c r="G19" s="45">
        <f>IF(A19&gt;1_Accueil_Parametres!$B$17,"—",IF(A19&lt;=1_Accueil_Parametres!$B$20,"Différé — intérêts capitalisés","Ventes du cycle"))</f>
        <v/>
      </c>
      <c r="H19" s="45">
        <f>IF(A19&gt;1_Accueil_Parametres!$B$17,"—","Prévu")</f>
        <v/>
      </c>
    </row>
    <row r="20" ht="15" customHeight="1" s="46">
      <c r="A20" s="45" t="n">
        <v>16</v>
      </c>
      <c r="B20" s="76">
        <f>EDATE(1_Accueil_Parametres!$B$14,16)</f>
        <v/>
      </c>
      <c r="C20" s="77">
        <f>IF(AND(A20&gt;1_Accueil_Parametres!$B$20,A20&lt;=1_Accueil_Parametres!$B$17),6_Plan_Financement!$B$8/MAX(1_Accueil_Parametres!$B$17-1_Accueil_Parametres!$B$20,1),0)</f>
        <v/>
      </c>
      <c r="D20" s="77">
        <f>IF(OR(A20&lt;=1_Accueil_Parametres!$B$20,A20&gt;1_Accueil_Parametres!$B$17),0,F19*1_Accueil_Parametres!$B$16/12+IF(A20=1_Accueil_Parametres!$B$20+1,6_Plan_Financement!$B$8*1_Accueil_Parametres!$B$16/12*1_Accueil_Parametres!$B$20,0))</f>
        <v/>
      </c>
      <c r="E20" s="77">
        <f>C20+D20</f>
        <v/>
      </c>
      <c r="F20" s="77">
        <f>F19-C20</f>
        <v/>
      </c>
      <c r="G20" s="45">
        <f>IF(A20&gt;1_Accueil_Parametres!$B$17,"—",IF(A20&lt;=1_Accueil_Parametres!$B$20,"Différé — intérêts capitalisés","Ventes du cycle"))</f>
        <v/>
      </c>
      <c r="H20" s="45">
        <f>IF(A20&gt;1_Accueil_Parametres!$B$17,"—","Prévu")</f>
        <v/>
      </c>
    </row>
    <row r="21" ht="15" customHeight="1" s="46">
      <c r="A21" s="45" t="n">
        <v>17</v>
      </c>
      <c r="B21" s="76">
        <f>EDATE(1_Accueil_Parametres!$B$14,17)</f>
        <v/>
      </c>
      <c r="C21" s="77">
        <f>IF(AND(A21&gt;1_Accueil_Parametres!$B$20,A21&lt;=1_Accueil_Parametres!$B$17),6_Plan_Financement!$B$8/MAX(1_Accueil_Parametres!$B$17-1_Accueil_Parametres!$B$20,1),0)</f>
        <v/>
      </c>
      <c r="D21" s="77">
        <f>IF(OR(A21&lt;=1_Accueil_Parametres!$B$20,A21&gt;1_Accueil_Parametres!$B$17),0,F20*1_Accueil_Parametres!$B$16/12+IF(A21=1_Accueil_Parametres!$B$20+1,6_Plan_Financement!$B$8*1_Accueil_Parametres!$B$16/12*1_Accueil_Parametres!$B$20,0))</f>
        <v/>
      </c>
      <c r="E21" s="77">
        <f>C21+D21</f>
        <v/>
      </c>
      <c r="F21" s="77">
        <f>F20-C21</f>
        <v/>
      </c>
      <c r="G21" s="45">
        <f>IF(A21&gt;1_Accueil_Parametres!$B$17,"—",IF(A21&lt;=1_Accueil_Parametres!$B$20,"Différé — intérêts capitalisés","Ventes du cycle"))</f>
        <v/>
      </c>
      <c r="H21" s="45">
        <f>IF(A21&gt;1_Accueil_Parametres!$B$17,"—","Prévu")</f>
        <v/>
      </c>
    </row>
    <row r="22" ht="15" customHeight="1" s="46">
      <c r="A22" s="45" t="n">
        <v>18</v>
      </c>
      <c r="B22" s="76">
        <f>EDATE(1_Accueil_Parametres!$B$14,18)</f>
        <v/>
      </c>
      <c r="C22" s="77">
        <f>IF(AND(A22&gt;1_Accueil_Parametres!$B$20,A22&lt;=1_Accueil_Parametres!$B$17),6_Plan_Financement!$B$8/MAX(1_Accueil_Parametres!$B$17-1_Accueil_Parametres!$B$20,1),0)</f>
        <v/>
      </c>
      <c r="D22" s="77">
        <f>IF(OR(A22&lt;=1_Accueil_Parametres!$B$20,A22&gt;1_Accueil_Parametres!$B$17),0,F21*1_Accueil_Parametres!$B$16/12+IF(A22=1_Accueil_Parametres!$B$20+1,6_Plan_Financement!$B$8*1_Accueil_Parametres!$B$16/12*1_Accueil_Parametres!$B$20,0))</f>
        <v/>
      </c>
      <c r="E22" s="77">
        <f>C22+D22</f>
        <v/>
      </c>
      <c r="F22" s="77">
        <f>F21-C22</f>
        <v/>
      </c>
      <c r="G22" s="45">
        <f>IF(A22&gt;1_Accueil_Parametres!$B$17,"—",IF(A22&lt;=1_Accueil_Parametres!$B$20,"Différé — intérêts capitalisés","Ventes du cycle"))</f>
        <v/>
      </c>
      <c r="H22" s="45">
        <f>IF(A22&gt;1_Accueil_Parametres!$B$17,"—","Prévu")</f>
        <v/>
      </c>
    </row>
    <row r="23" ht="15" customHeight="1" s="46">
      <c r="A23" s="45" t="n">
        <v>19</v>
      </c>
      <c r="B23" s="76">
        <f>EDATE(1_Accueil_Parametres!$B$14,19)</f>
        <v/>
      </c>
      <c r="C23" s="77">
        <f>IF(AND(A23&gt;1_Accueil_Parametres!$B$20,A23&lt;=1_Accueil_Parametres!$B$17),6_Plan_Financement!$B$8/MAX(1_Accueil_Parametres!$B$17-1_Accueil_Parametres!$B$20,1),0)</f>
        <v/>
      </c>
      <c r="D23" s="77">
        <f>IF(OR(A23&lt;=1_Accueil_Parametres!$B$20,A23&gt;1_Accueil_Parametres!$B$17),0,F22*1_Accueil_Parametres!$B$16/12+IF(A23=1_Accueil_Parametres!$B$20+1,6_Plan_Financement!$B$8*1_Accueil_Parametres!$B$16/12*1_Accueil_Parametres!$B$20,0))</f>
        <v/>
      </c>
      <c r="E23" s="77">
        <f>C23+D23</f>
        <v/>
      </c>
      <c r="F23" s="77">
        <f>F22-C23</f>
        <v/>
      </c>
      <c r="G23" s="45">
        <f>IF(A23&gt;1_Accueil_Parametres!$B$17,"—",IF(A23&lt;=1_Accueil_Parametres!$B$20,"Différé — intérêts capitalisés","Ventes du cycle"))</f>
        <v/>
      </c>
      <c r="H23" s="45">
        <f>IF(A23&gt;1_Accueil_Parametres!$B$17,"—","Prévu")</f>
        <v/>
      </c>
    </row>
    <row r="24" ht="15" customHeight="1" s="46">
      <c r="A24" s="45" t="n">
        <v>20</v>
      </c>
      <c r="B24" s="76">
        <f>EDATE(1_Accueil_Parametres!$B$14,20)</f>
        <v/>
      </c>
      <c r="C24" s="77">
        <f>IF(AND(A24&gt;1_Accueil_Parametres!$B$20,A24&lt;=1_Accueil_Parametres!$B$17),6_Plan_Financement!$B$8/MAX(1_Accueil_Parametres!$B$17-1_Accueil_Parametres!$B$20,1),0)</f>
        <v/>
      </c>
      <c r="D24" s="77">
        <f>IF(OR(A24&lt;=1_Accueil_Parametres!$B$20,A24&gt;1_Accueil_Parametres!$B$17),0,F23*1_Accueil_Parametres!$B$16/12+IF(A24=1_Accueil_Parametres!$B$20+1,6_Plan_Financement!$B$8*1_Accueil_Parametres!$B$16/12*1_Accueil_Parametres!$B$20,0))</f>
        <v/>
      </c>
      <c r="E24" s="77">
        <f>C24+D24</f>
        <v/>
      </c>
      <c r="F24" s="77">
        <f>F23-C24</f>
        <v/>
      </c>
      <c r="G24" s="45">
        <f>IF(A24&gt;1_Accueil_Parametres!$B$17,"—",IF(A24&lt;=1_Accueil_Parametres!$B$20,"Différé — intérêts capitalisés","Ventes du cycle"))</f>
        <v/>
      </c>
      <c r="H24" s="45">
        <f>IF(A24&gt;1_Accueil_Parametres!$B$17,"—","Prévu")</f>
        <v/>
      </c>
    </row>
    <row r="25" ht="15" customHeight="1" s="46">
      <c r="A25" s="45" t="n">
        <v>21</v>
      </c>
      <c r="B25" s="76">
        <f>EDATE(1_Accueil_Parametres!$B$14,21)</f>
        <v/>
      </c>
      <c r="C25" s="77">
        <f>IF(AND(A25&gt;1_Accueil_Parametres!$B$20,A25&lt;=1_Accueil_Parametres!$B$17),6_Plan_Financement!$B$8/MAX(1_Accueil_Parametres!$B$17-1_Accueil_Parametres!$B$20,1),0)</f>
        <v/>
      </c>
      <c r="D25" s="77">
        <f>IF(OR(A25&lt;=1_Accueil_Parametres!$B$20,A25&gt;1_Accueil_Parametres!$B$17),0,F24*1_Accueil_Parametres!$B$16/12+IF(A25=1_Accueil_Parametres!$B$20+1,6_Plan_Financement!$B$8*1_Accueil_Parametres!$B$16/12*1_Accueil_Parametres!$B$20,0))</f>
        <v/>
      </c>
      <c r="E25" s="77">
        <f>C25+D25</f>
        <v/>
      </c>
      <c r="F25" s="77">
        <f>F24-C25</f>
        <v/>
      </c>
      <c r="G25" s="45">
        <f>IF(A25&gt;1_Accueil_Parametres!$B$17,"—",IF(A25&lt;=1_Accueil_Parametres!$B$20,"Différé — intérêts capitalisés","Ventes du cycle"))</f>
        <v/>
      </c>
      <c r="H25" s="45">
        <f>IF(A25&gt;1_Accueil_Parametres!$B$17,"—","Prévu")</f>
        <v/>
      </c>
    </row>
    <row r="26" ht="15" customHeight="1" s="46">
      <c r="A26" s="45" t="n">
        <v>22</v>
      </c>
      <c r="B26" s="76">
        <f>EDATE(1_Accueil_Parametres!$B$14,22)</f>
        <v/>
      </c>
      <c r="C26" s="77">
        <f>IF(AND(A26&gt;1_Accueil_Parametres!$B$20,A26&lt;=1_Accueil_Parametres!$B$17),6_Plan_Financement!$B$8/MAX(1_Accueil_Parametres!$B$17-1_Accueil_Parametres!$B$20,1),0)</f>
        <v/>
      </c>
      <c r="D26" s="77">
        <f>IF(OR(A26&lt;=1_Accueil_Parametres!$B$20,A26&gt;1_Accueil_Parametres!$B$17),0,F25*1_Accueil_Parametres!$B$16/12+IF(A26=1_Accueil_Parametres!$B$20+1,6_Plan_Financement!$B$8*1_Accueil_Parametres!$B$16/12*1_Accueil_Parametres!$B$20,0))</f>
        <v/>
      </c>
      <c r="E26" s="77">
        <f>C26+D26</f>
        <v/>
      </c>
      <c r="F26" s="77">
        <f>F25-C26</f>
        <v/>
      </c>
      <c r="G26" s="45">
        <f>IF(A26&gt;1_Accueil_Parametres!$B$17,"—",IF(A26&lt;=1_Accueil_Parametres!$B$20,"Différé — intérêts capitalisés","Ventes du cycle"))</f>
        <v/>
      </c>
      <c r="H26" s="45">
        <f>IF(A26&gt;1_Accueil_Parametres!$B$17,"—","Prévu")</f>
        <v/>
      </c>
    </row>
    <row r="27" ht="15" customHeight="1" s="46">
      <c r="A27" s="45" t="n">
        <v>23</v>
      </c>
      <c r="B27" s="76">
        <f>EDATE(1_Accueil_Parametres!$B$14,23)</f>
        <v/>
      </c>
      <c r="C27" s="77">
        <f>IF(AND(A27&gt;1_Accueil_Parametres!$B$20,A27&lt;=1_Accueil_Parametres!$B$17),6_Plan_Financement!$B$8/MAX(1_Accueil_Parametres!$B$17-1_Accueil_Parametres!$B$20,1),0)</f>
        <v/>
      </c>
      <c r="D27" s="77">
        <f>IF(OR(A27&lt;=1_Accueil_Parametres!$B$20,A27&gt;1_Accueil_Parametres!$B$17),0,F26*1_Accueil_Parametres!$B$16/12+IF(A27=1_Accueil_Parametres!$B$20+1,6_Plan_Financement!$B$8*1_Accueil_Parametres!$B$16/12*1_Accueil_Parametres!$B$20,0))</f>
        <v/>
      </c>
      <c r="E27" s="77">
        <f>C27+D27</f>
        <v/>
      </c>
      <c r="F27" s="77">
        <f>F26-C27</f>
        <v/>
      </c>
      <c r="G27" s="45">
        <f>IF(A27&gt;1_Accueil_Parametres!$B$17,"—",IF(A27&lt;=1_Accueil_Parametres!$B$20,"Différé — intérêts capitalisés","Ventes du cycle"))</f>
        <v/>
      </c>
      <c r="H27" s="45">
        <f>IF(A27&gt;1_Accueil_Parametres!$B$17,"—","Prévu")</f>
        <v/>
      </c>
    </row>
    <row r="28" ht="15" customHeight="1" s="46">
      <c r="A28" s="45" t="n">
        <v>24</v>
      </c>
      <c r="B28" s="76">
        <f>EDATE(1_Accueil_Parametres!$B$14,24)</f>
        <v/>
      </c>
      <c r="C28" s="77">
        <f>IF(AND(A28&gt;1_Accueil_Parametres!$B$20,A28&lt;=1_Accueil_Parametres!$B$17),6_Plan_Financement!$B$8/MAX(1_Accueil_Parametres!$B$17-1_Accueil_Parametres!$B$20,1),0)</f>
        <v/>
      </c>
      <c r="D28" s="77">
        <f>IF(OR(A28&lt;=1_Accueil_Parametres!$B$20,A28&gt;1_Accueil_Parametres!$B$17),0,F27*1_Accueil_Parametres!$B$16/12+IF(A28=1_Accueil_Parametres!$B$20+1,6_Plan_Financement!$B$8*1_Accueil_Parametres!$B$16/12*1_Accueil_Parametres!$B$20,0))</f>
        <v/>
      </c>
      <c r="E28" s="77">
        <f>C28+D28</f>
        <v/>
      </c>
      <c r="F28" s="77">
        <f>F27-C28</f>
        <v/>
      </c>
      <c r="G28" s="45">
        <f>IF(A28&gt;1_Accueil_Parametres!$B$17,"—",IF(A28&lt;=1_Accueil_Parametres!$B$20,"Différé — intérêts capitalisés","Ventes du cycle"))</f>
        <v/>
      </c>
      <c r="H28" s="45">
        <f>IF(A28&gt;1_Accueil_Parametres!$B$17,"—","Prévu")</f>
        <v/>
      </c>
    </row>
    <row r="29" ht="15" customHeight="1" s="46">
      <c r="B29" s="49" t="inlineStr">
        <is>
          <t>TOTAL</t>
        </is>
      </c>
      <c r="C29" s="53">
        <f>SUM(C5:C28)</f>
        <v/>
      </c>
      <c r="D29" s="53">
        <f>SUM(D5:D28)</f>
        <v/>
      </c>
      <c r="E29" s="53">
        <f>SUM(E5:E28)</f>
        <v/>
      </c>
      <c r="G29" s="45" t="inlineStr">
        <is>
          <t>Contrôle : le solde restant dû doit finir à 0.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45" min="1" max="1"/>
    <col width="18" customWidth="1" style="45" min="2" max="2"/>
    <col width="40" customWidth="1" style="45" min="3" max="3"/>
  </cols>
  <sheetData>
    <row r="1" ht="17.25" customHeight="1" s="46">
      <c r="A1" s="47" t="inlineStr">
        <is>
          <t>Analyse crédit &amp; scoring</t>
        </is>
      </c>
    </row>
    <row r="4" ht="15" customHeight="1" s="46">
      <c r="A4" s="49" t="inlineStr">
        <is>
          <t>Critère</t>
        </is>
      </c>
      <c r="B4" s="49" t="inlineStr">
        <is>
          <t>Pondération</t>
        </is>
      </c>
      <c r="C4" s="49" t="inlineStr">
        <is>
          <t>Score /100</t>
        </is>
      </c>
      <c r="D4" s="49" t="inlineStr">
        <is>
          <t>Points</t>
        </is>
      </c>
    </row>
    <row r="5" ht="15" customHeight="1" s="46">
      <c r="A5" s="51" t="inlineStr">
        <is>
          <t>Fiabilité technique (contrôles de vraisemblance, écarts justifiés inclus)</t>
        </is>
      </c>
      <c r="B5" s="79" t="n">
        <v>0.25</v>
      </c>
      <c r="C5" s="80">
        <f>(COUNTIF(18_Controles_Vraisemblance!H5:H10,"OK")+COUNTIF(18_Controles_Vraisemblance!H5:H10,"Justifié"))/6*100</f>
        <v/>
      </c>
      <c r="D5" s="80">
        <f>B5*C5</f>
        <v/>
      </c>
    </row>
    <row r="6" ht="15" customHeight="1" s="46">
      <c r="A6" s="51" t="inlineStr">
        <is>
          <t>Capacité financière (DSCR central)</t>
        </is>
      </c>
      <c r="B6" s="79" t="n">
        <v>0.2</v>
      </c>
      <c r="C6" s="80">
        <f>MAX(0,MIN(100,(10_Capacite_Remboursement!B12-0.8)/0.8*100))</f>
        <v/>
      </c>
      <c r="D6" s="80">
        <f>B6*C6</f>
        <v/>
      </c>
    </row>
    <row r="7" ht="15" customHeight="1" s="46">
      <c r="A7" s="51" t="inlineStr">
        <is>
          <t>Résilience au stress (DSCR minimal des scénarios)</t>
        </is>
      </c>
      <c r="B7" s="79" t="n">
        <v>0.1</v>
      </c>
      <c r="C7" s="80">
        <f>MAX(0,MIN(100,(17_Sensibilite_StressTest!B16-0.6)/0.6*100))</f>
        <v/>
      </c>
      <c r="D7" s="80">
        <f>B7*C7</f>
        <v/>
      </c>
    </row>
    <row r="8" ht="15" customHeight="1" s="46">
      <c r="A8" s="51" t="inlineStr">
        <is>
          <t>Historique comportemental (wallet AGRICAP)</t>
        </is>
      </c>
      <c r="B8" s="79" t="n">
        <v>0.3</v>
      </c>
      <c r="C8" s="52" t="n">
        <v>50</v>
      </c>
      <c r="D8" s="80">
        <f>B8*C8</f>
        <v/>
      </c>
    </row>
    <row r="9" ht="15" customHeight="1" s="46">
      <c r="A9" s="51" t="inlineStr">
        <is>
          <t>Garanties &amp; domiciliation (couverture)</t>
        </is>
      </c>
      <c r="B9" s="79" t="n">
        <v>0.15</v>
      </c>
      <c r="C9" s="80">
        <f>MAX(0,MIN(100,15_Garanties_Collateraux!B14*100))</f>
        <v/>
      </c>
      <c r="D9" s="80">
        <f>B9*C9</f>
        <v/>
      </c>
    </row>
    <row r="10" ht="15" customHeight="1" s="46">
      <c r="A10" s="49" t="inlineStr">
        <is>
          <t>SCORE GLOBAL /100</t>
        </is>
      </c>
      <c r="B10" s="81">
        <f>SUM(B5:B9)</f>
        <v/>
      </c>
      <c r="C10" s="57" t="n"/>
      <c r="D10" s="80">
        <f>SUM(D5:D9)</f>
        <v/>
      </c>
      <c r="E10" s="45">
        <f>IF(B10=1,"","⚠ Les pondérations doivent totaliser 100 %")</f>
        <v/>
      </c>
    </row>
    <row r="11" ht="15" customHeight="1" s="46">
      <c r="A11" s="51" t="inlineStr">
        <is>
          <t>Suggestion automatique</t>
        </is>
      </c>
      <c r="B11" s="71">
        <f>IF(AND(D10&gt;=1_Accueil_Parametres!B25,10_Capacite_Remboursement!B12&gt;=1_Accueil_Parametres!B22,17_Sensibilite_StressTest!B16&gt;=1_Accueil_Parametres!B23),"Favorable",IF(D10&gt;=55,"Favorable sous conditions","À instruire / défavorable en l'état"))</f>
        <v/>
      </c>
      <c r="C11" s="57" t="n"/>
    </row>
    <row r="12" ht="15" customHeight="1" s="46">
      <c r="A12" s="45" t="inlineStr">
        <is>
          <t>Couverture par garanties (info)</t>
        </is>
      </c>
      <c r="B12" s="81">
        <f>15_Garanties_Collateraux!B14</f>
        <v/>
      </c>
      <c r="C12" s="45" t="inlineStr">
        <is>
          <t>Seuil : voir onglet 1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0" customWidth="1" style="45" min="2" max="2"/>
    <col width="34" customWidth="1" style="45" min="3" max="3"/>
    <col width="24" customWidth="1" style="45" min="4" max="4"/>
    <col width="18" customWidth="1" style="45" min="5" max="5"/>
    <col width="9" customWidth="1" style="45" min="6" max="6"/>
    <col width="20" customWidth="1" style="45" min="7" max="7"/>
    <col width="28" customWidth="1" style="45" min="8" max="8"/>
    <col width="22" customWidth="1" style="45" min="9" max="9"/>
    <col width="26" customWidth="1" style="45" min="10" max="10"/>
  </cols>
  <sheetData>
    <row r="1" ht="17.25" customHeight="1" s="46">
      <c r="A1" s="47" t="inlineStr">
        <is>
          <t>Garanties &amp; collatéraux (usage interne analyste)</t>
        </is>
      </c>
    </row>
    <row r="2" ht="15" customHeight="1" s="46">
      <c r="A2" s="45" t="inlineStr">
        <is>
          <t>Valeur retenue = valeur estimée × (1 − décote). La couverture se mesure contre le service de la dette (capital + intérêts).</t>
        </is>
      </c>
    </row>
    <row r="4" ht="27.75" customHeight="1" s="46">
      <c r="A4" s="49" t="inlineStr">
        <is>
          <t>N°</t>
        </is>
      </c>
      <c r="B4" s="49" t="inlineStr">
        <is>
          <t>Type de garantie</t>
        </is>
      </c>
      <c r="C4" s="49" t="inlineStr">
        <is>
          <t>Description / référence</t>
        </is>
      </c>
      <c r="D4" s="49" t="inlineStr">
        <is>
          <t>Constituant / propriétaire</t>
        </is>
      </c>
      <c r="E4" s="49" t="inlineStr">
        <is>
          <t>Valeur estimée (USD)</t>
        </is>
      </c>
      <c r="F4" s="49" t="inlineStr">
        <is>
          <t>Décote</t>
        </is>
      </c>
      <c r="G4" s="49" t="inlineStr">
        <is>
          <t>Valeur retenue (USD)</t>
        </is>
      </c>
      <c r="H4" s="49" t="inlineStr">
        <is>
          <t>Formalisation juridique</t>
        </is>
      </c>
      <c r="I4" s="49" t="inlineStr">
        <is>
          <t>Documents fournis</t>
        </is>
      </c>
      <c r="J4" s="49" t="inlineStr">
        <is>
          <t>Observation analyste</t>
        </is>
      </c>
    </row>
    <row r="5" ht="15" customHeight="1" s="46">
      <c r="A5" s="45" t="n">
        <v>1</v>
      </c>
      <c r="B5" s="52" t="inlineStr">
        <is>
          <t>Contrat de vente (cession de créance)</t>
        </is>
      </c>
      <c r="C5" s="52" t="n"/>
      <c r="D5" s="52" t="n"/>
      <c r="E5" s="82" t="n"/>
      <c r="F5" s="79" t="n">
        <v>0.3</v>
      </c>
      <c r="G5" s="53">
        <f>E5*(1-F5)</f>
        <v/>
      </c>
      <c r="H5" s="52" t="inlineStr">
        <is>
          <t>À formaliser (notification acheteur)</t>
        </is>
      </c>
      <c r="I5" s="52" t="inlineStr">
        <is>
          <t>Contrat signé</t>
        </is>
      </c>
      <c r="J5" s="52" t="n"/>
    </row>
    <row r="6" ht="15" customHeight="1" s="46">
      <c r="A6" s="45" t="n">
        <v>2</v>
      </c>
      <c r="B6" s="52" t="inlineStr">
        <is>
          <t>Warrantage / stock nanti</t>
        </is>
      </c>
      <c r="C6" s="52" t="n"/>
      <c r="D6" s="52" t="n"/>
      <c r="E6" s="82" t="n"/>
      <c r="F6" s="79" t="n">
        <v>0.4</v>
      </c>
      <c r="G6" s="53">
        <f>E6*(1-F6)</f>
        <v/>
      </c>
      <c r="H6" s="52" t="inlineStr">
        <is>
          <t>Récépissé d'entreposage</t>
        </is>
      </c>
      <c r="I6" s="52" t="inlineStr">
        <is>
          <t>Certificat de dépôt</t>
        </is>
      </c>
      <c r="J6" s="52" t="n"/>
    </row>
    <row r="7" ht="15" customHeight="1" s="46">
      <c r="A7" s="45" t="n">
        <v>3</v>
      </c>
      <c r="B7" s="52" t="inlineStr">
        <is>
          <t>Caution solidaire</t>
        </is>
      </c>
      <c r="C7" s="52" t="n"/>
      <c r="D7" s="52" t="n"/>
      <c r="E7" s="82" t="n"/>
      <c r="F7" s="79" t="n">
        <v>0.5</v>
      </c>
      <c r="G7" s="53">
        <f>E7*(1-F7)</f>
        <v/>
      </c>
      <c r="H7" s="52" t="inlineStr">
        <is>
          <t>Acte de caution à signer</t>
        </is>
      </c>
      <c r="I7" s="52" t="inlineStr">
        <is>
          <t>Pièces d'identité</t>
        </is>
      </c>
      <c r="J7" s="52" t="n"/>
    </row>
    <row r="8" ht="15" customHeight="1" s="46">
      <c r="A8" s="45" t="n">
        <v>4</v>
      </c>
      <c r="B8" s="52" t="inlineStr">
        <is>
          <t>Nantissement d'équipement</t>
        </is>
      </c>
      <c r="C8" s="52" t="n"/>
      <c r="D8" s="52" t="n"/>
      <c r="E8" s="82" t="n"/>
      <c r="F8" s="79" t="n">
        <v>0.5</v>
      </c>
      <c r="G8" s="53">
        <f>E8*(1-F8)</f>
        <v/>
      </c>
      <c r="H8" s="52" t="inlineStr">
        <is>
          <t>Acte de nantissement RCCM</t>
        </is>
      </c>
      <c r="I8" s="52" t="inlineStr">
        <is>
          <t>Factures d'achat</t>
        </is>
      </c>
      <c r="J8" s="52" t="n"/>
    </row>
    <row r="9" ht="15" customHeight="1" s="46">
      <c r="A9" s="45" t="n">
        <v>5</v>
      </c>
      <c r="B9" s="52" t="inlineStr">
        <is>
          <t>Épargne nantie / dépôt de garantie</t>
        </is>
      </c>
      <c r="C9" s="52" t="n"/>
      <c r="D9" s="52" t="n"/>
      <c r="E9" s="82" t="n"/>
      <c r="F9" s="79" t="n">
        <v>0</v>
      </c>
      <c r="G9" s="53">
        <f>E9*(1-F9)</f>
        <v/>
      </c>
      <c r="H9" s="52" t="inlineStr">
        <is>
          <t>Convention de blocage</t>
        </is>
      </c>
      <c r="I9" s="52" t="inlineStr">
        <is>
          <t>Relevé de compte</t>
        </is>
      </c>
      <c r="J9" s="52" t="n"/>
    </row>
    <row r="10" ht="15" customHeight="1" s="46">
      <c r="A10" s="45" t="n">
        <v>6</v>
      </c>
      <c r="B10" s="52" t="inlineStr">
        <is>
          <t>Domiciliation des recettes (convention tripartite)</t>
        </is>
      </c>
      <c r="C10" s="52" t="inlineStr">
        <is>
          <t>Part des ventes sous contrat encaissée via le wallet AGRICAP — prélèvement à la source</t>
        </is>
      </c>
      <c r="D10" s="52" t="inlineStr">
        <is>
          <t>Acheteur / AGRICAP</t>
        </is>
      </c>
      <c r="E10" s="82">
        <f>8_Previsions_Ventes!G9*0.5</f>
        <v/>
      </c>
      <c r="F10" s="79" t="n">
        <v>0.1</v>
      </c>
      <c r="G10" s="53">
        <f>E10*(1-F10)</f>
        <v/>
      </c>
      <c r="H10" s="52" t="inlineStr">
        <is>
          <t>Convention tripartite + blocage wallet</t>
        </is>
      </c>
      <c r="I10" s="52" t="inlineStr">
        <is>
          <t>Contrat d'achat signé</t>
        </is>
      </c>
      <c r="J10" s="52" t="n"/>
    </row>
    <row r="11" ht="15" customHeight="1" s="46">
      <c r="B11" s="49" t="inlineStr">
        <is>
          <t>TOTAL</t>
        </is>
      </c>
      <c r="E11" s="53">
        <f>SUM(E5:E10)</f>
        <v/>
      </c>
      <c r="G11" s="53">
        <f>SUM(G5:G10)</f>
        <v/>
      </c>
    </row>
    <row r="13" ht="15" customHeight="1" s="46">
      <c r="A13" s="51" t="inlineStr">
        <is>
          <t>Service de la dette (capital + intérêts)</t>
        </is>
      </c>
      <c r="B13" s="53">
        <f>10_Capacite_Remboursement!B10</f>
        <v/>
      </c>
    </row>
    <row r="14" ht="15" customHeight="1" s="46">
      <c r="A14" s="51" t="inlineStr">
        <is>
          <t>Ratio de couverture (valeur retenue / service de la dette)</t>
        </is>
      </c>
      <c r="B14" s="81">
        <f>IFERROR(G11/B13,0)</f>
        <v/>
      </c>
    </row>
    <row r="15" ht="15" customHeight="1" s="46">
      <c r="A15" s="51" t="inlineStr">
        <is>
          <t>Avis garanties</t>
        </is>
      </c>
      <c r="B15" s="71">
        <f>IF(B14&gt;=1,"Couverture suffisante",IF(B14&gt;=0.5,"Couverture partielle — pondérer avec le DSCR","Couverture faible — décision à appuyer sur la fiabilité technico-économique"))</f>
        <v/>
      </c>
    </row>
    <row r="17" ht="15" customHeight="1" s="46">
      <c r="A17" s="45" t="inlineStr">
        <is>
          <t>Types usuels : hypothèque, nantissement de stock/équipement, warrantage, cession de créance (contrat de vente), caution solidaire, épargne nantie.</t>
        </is>
      </c>
    </row>
  </sheetData>
  <dataValidations count="1">
    <dataValidation sqref="F5:F10" showDropDown="0" showInputMessage="0" showErrorMessage="0" allowBlank="1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S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5" min="1" max="1"/>
    <col width="11" customWidth="1" style="45" min="2" max="19"/>
  </cols>
  <sheetData>
    <row r="1" ht="17.25" customHeight="1" s="46">
      <c r="A1" s="47" t="inlineStr">
        <is>
          <t>Trésorerie mensuelle du cycle (hors crédit)</t>
        </is>
      </c>
    </row>
    <row r="2" ht="15" customHeight="1" s="46">
      <c r="A2" s="45" t="inlineStr">
        <is>
          <t>Objectif : dimensionner le crédit sur le déficit cumulé maximal (pic de trésorerie), pas sur le total des besoins.</t>
        </is>
      </c>
    </row>
    <row r="4" ht="27.75" customHeight="1" s="46">
      <c r="A4" s="49" t="inlineStr">
        <is>
          <t>Période</t>
        </is>
      </c>
      <c r="B4" s="49" t="inlineStr">
        <is>
          <t>Montant (USD)</t>
        </is>
      </c>
      <c r="C4" s="49" t="inlineStr">
        <is>
          <t>Mois début</t>
        </is>
      </c>
      <c r="D4" s="49" t="inlineStr">
        <is>
          <t>Mois fin</t>
        </is>
      </c>
      <c r="E4" s="49" t="inlineStr">
        <is>
          <t>Montant mensuel</t>
        </is>
      </c>
    </row>
    <row r="5" ht="15" customHeight="1" s="46">
      <c r="A5" s="45" t="inlineStr">
        <is>
          <t>Préparation</t>
        </is>
      </c>
      <c r="B5" s="53">
        <f>SUMIF(4_Besoins_Financiers!I:I,A5,4_Besoins_Financiers!H:H)</f>
        <v/>
      </c>
      <c r="C5" s="45">
        <f>3_Parametres_Techniques!B5</f>
        <v/>
      </c>
      <c r="D5" s="45">
        <f>3_Parametres_Techniques!C5</f>
        <v/>
      </c>
      <c r="E5" s="53">
        <f>IF(D5&gt;=C5,B5/(D5-C5+1),0)</f>
        <v/>
      </c>
    </row>
    <row r="6" ht="15" customHeight="1" s="46">
      <c r="A6" s="45" t="inlineStr">
        <is>
          <t>Implantation</t>
        </is>
      </c>
      <c r="B6" s="53">
        <f>SUMIF(4_Besoins_Financiers!I:I,A6,4_Besoins_Financiers!H:H)</f>
        <v/>
      </c>
      <c r="C6" s="45">
        <f>3_Parametres_Techniques!B6</f>
        <v/>
      </c>
      <c r="D6" s="45">
        <f>3_Parametres_Techniques!C6</f>
        <v/>
      </c>
      <c r="E6" s="53">
        <f>IF(D6&gt;=C6,B6/(D6-C6+1),0)</f>
        <v/>
      </c>
    </row>
    <row r="7" ht="15" customHeight="1" s="46">
      <c r="A7" s="45" t="inlineStr">
        <is>
          <t>Croissance</t>
        </is>
      </c>
      <c r="B7" s="53">
        <f>SUMIF(4_Besoins_Financiers!I:I,A7,4_Besoins_Financiers!H:H)</f>
        <v/>
      </c>
      <c r="C7" s="45">
        <f>3_Parametres_Techniques!B7</f>
        <v/>
      </c>
      <c r="D7" s="45">
        <f>3_Parametres_Techniques!C7</f>
        <v/>
      </c>
      <c r="E7" s="53">
        <f>IF(D7&gt;=C7,B7/(D7-C7+1),0)</f>
        <v/>
      </c>
    </row>
    <row r="8" ht="15" customHeight="1" s="46">
      <c r="A8" s="45" t="inlineStr">
        <is>
          <t>Entretien</t>
        </is>
      </c>
      <c r="B8" s="53">
        <f>SUMIF(4_Besoins_Financiers!I:I,A8,4_Besoins_Financiers!H:H)</f>
        <v/>
      </c>
      <c r="C8" s="45">
        <f>3_Parametres_Techniques!B7</f>
        <v/>
      </c>
      <c r="D8" s="45">
        <f>3_Parametres_Techniques!C7</f>
        <v/>
      </c>
      <c r="E8" s="53">
        <f>IF(D8&gt;=C8,B8/(D8-C8+1),0)</f>
        <v/>
      </c>
    </row>
    <row r="9" ht="15" customHeight="1" s="46">
      <c r="A9" s="45" t="inlineStr">
        <is>
          <t>Récolte</t>
        </is>
      </c>
      <c r="B9" s="53">
        <f>SUMIF(4_Besoins_Financiers!I:I,A9,4_Besoins_Financiers!H:H)</f>
        <v/>
      </c>
      <c r="C9" s="45">
        <f>3_Parametres_Techniques!B8</f>
        <v/>
      </c>
      <c r="D9" s="45">
        <f>3_Parametres_Techniques!C8</f>
        <v/>
      </c>
      <c r="E9" s="53">
        <f>IF(D9&gt;=C9,B9/(D9-C9+1),0)</f>
        <v/>
      </c>
    </row>
    <row r="10" ht="15" customHeight="1" s="46">
      <c r="A10" s="45" t="inlineStr">
        <is>
          <t>Post récolte</t>
        </is>
      </c>
      <c r="B10" s="53">
        <f>SUMIF(4_Besoins_Financiers!I:I,A10,4_Besoins_Financiers!H:H)</f>
        <v/>
      </c>
      <c r="C10" s="45">
        <f>3_Parametres_Techniques!B9</f>
        <v/>
      </c>
      <c r="D10" s="45">
        <f>3_Parametres_Techniques!C9</f>
        <v/>
      </c>
      <c r="E10" s="53">
        <f>IF(D10&gt;=C10,B10/(D10-C10+1),0)</f>
        <v/>
      </c>
    </row>
    <row r="11" ht="15" customHeight="1" s="46">
      <c r="A11" s="45" t="inlineStr">
        <is>
          <t>Commercialisation</t>
        </is>
      </c>
      <c r="B11" s="53">
        <f>SUMIF(4_Besoins_Financiers!I:I,A11,4_Besoins_Financiers!H:H)</f>
        <v/>
      </c>
      <c r="C11" s="45">
        <f>3_Parametres_Techniques!B10</f>
        <v/>
      </c>
      <c r="D11" s="45">
        <f>3_Parametres_Techniques!C10</f>
        <v/>
      </c>
      <c r="E11" s="53">
        <f>IF(D11&gt;=C11,B11/(D11-C11+1),0)</f>
        <v/>
      </c>
    </row>
    <row r="12" ht="15" customHeight="1" s="46">
      <c r="A12" s="45" t="inlineStr">
        <is>
          <t>Tout le cycle</t>
        </is>
      </c>
      <c r="B12" s="53">
        <f>SUMIF(4_Besoins_Financiers!I:I,A12,4_Besoins_Financiers!H:H)</f>
        <v/>
      </c>
      <c r="C12" s="45">
        <f>1</f>
        <v/>
      </c>
      <c r="D12" s="45">
        <f>1_Accueil_Parametres!B15</f>
        <v/>
      </c>
      <c r="E12" s="53">
        <f>IF(D12&gt;=C12,B12/(D12-C12+1),0)</f>
        <v/>
      </c>
    </row>
    <row r="14" ht="15" customHeight="1" s="46">
      <c r="A14" s="49" t="inlineStr">
        <is>
          <t>Flux (USD) / Mois</t>
        </is>
      </c>
      <c r="B14" s="49" t="n">
        <v>1</v>
      </c>
      <c r="C14" s="49" t="n">
        <v>2</v>
      </c>
      <c r="D14" s="49" t="n">
        <v>3</v>
      </c>
      <c r="E14" s="49" t="n">
        <v>4</v>
      </c>
      <c r="F14" s="49" t="n">
        <v>5</v>
      </c>
      <c r="G14" s="49" t="n">
        <v>6</v>
      </c>
      <c r="H14" s="49" t="n">
        <v>7</v>
      </c>
      <c r="I14" s="49" t="n">
        <v>8</v>
      </c>
      <c r="J14" s="49" t="n">
        <v>9</v>
      </c>
      <c r="K14" s="49" t="n">
        <v>10</v>
      </c>
      <c r="L14" s="49" t="n">
        <v>11</v>
      </c>
      <c r="M14" s="49" t="n">
        <v>12</v>
      </c>
      <c r="N14" s="49" t="n">
        <v>13</v>
      </c>
      <c r="O14" s="49" t="n">
        <v>14</v>
      </c>
      <c r="P14" s="49" t="n">
        <v>15</v>
      </c>
      <c r="Q14" s="49" t="n">
        <v>16</v>
      </c>
      <c r="R14" s="49" t="n">
        <v>17</v>
      </c>
      <c r="S14" s="49" t="n">
        <v>18</v>
      </c>
    </row>
    <row r="15" ht="15" customHeight="1" s="46">
      <c r="A15" s="45" t="inlineStr">
        <is>
          <t>Décaissements (besoins du cycle)</t>
        </is>
      </c>
      <c r="B15" s="53">
        <f>SUMPRODUCT(($C$5:$C$12&lt;=B$14)*($D$5:$D$12&gt;=B$14)*$E$5:$E$12)</f>
        <v/>
      </c>
      <c r="C15" s="53">
        <f>SUMPRODUCT(($C$5:$C$12&lt;=C$14)*($D$5:$D$12&gt;=C$14)*$E$5:$E$12)</f>
        <v/>
      </c>
      <c r="D15" s="53">
        <f>SUMPRODUCT(($C$5:$C$12&lt;=D$14)*($D$5:$D$12&gt;=D$14)*$E$5:$E$12)</f>
        <v/>
      </c>
      <c r="E15" s="53">
        <f>SUMPRODUCT(($C$5:$C$12&lt;=E$14)*($D$5:$D$12&gt;=E$14)*$E$5:$E$12)</f>
        <v/>
      </c>
      <c r="F15" s="53">
        <f>SUMPRODUCT(($C$5:$C$12&lt;=F$14)*($D$5:$D$12&gt;=F$14)*$E$5:$E$12)</f>
        <v/>
      </c>
      <c r="G15" s="53">
        <f>SUMPRODUCT(($C$5:$C$12&lt;=G$14)*($D$5:$D$12&gt;=G$14)*$E$5:$E$12)</f>
        <v/>
      </c>
      <c r="H15" s="53">
        <f>SUMPRODUCT(($C$5:$C$12&lt;=H$14)*($D$5:$D$12&gt;=H$14)*$E$5:$E$12)</f>
        <v/>
      </c>
      <c r="I15" s="53">
        <f>SUMPRODUCT(($C$5:$C$12&lt;=I$14)*($D$5:$D$12&gt;=I$14)*$E$5:$E$12)</f>
        <v/>
      </c>
      <c r="J15" s="53">
        <f>SUMPRODUCT(($C$5:$C$12&lt;=J$14)*($D$5:$D$12&gt;=J$14)*$E$5:$E$12)</f>
        <v/>
      </c>
      <c r="K15" s="53">
        <f>SUMPRODUCT(($C$5:$C$12&lt;=K$14)*($D$5:$D$12&gt;=K$14)*$E$5:$E$12)</f>
        <v/>
      </c>
      <c r="L15" s="53">
        <f>SUMPRODUCT(($C$5:$C$12&lt;=L$14)*($D$5:$D$12&gt;=L$14)*$E$5:$E$12)</f>
        <v/>
      </c>
      <c r="M15" s="53">
        <f>SUMPRODUCT(($C$5:$C$12&lt;=M$14)*($D$5:$D$12&gt;=M$14)*$E$5:$E$12)</f>
        <v/>
      </c>
      <c r="N15" s="53">
        <f>SUMPRODUCT(($C$5:$C$12&lt;=N$14)*($D$5:$D$12&gt;=N$14)*$E$5:$E$12)</f>
        <v/>
      </c>
      <c r="O15" s="53">
        <f>SUMPRODUCT(($C$5:$C$12&lt;=O$14)*($D$5:$D$12&gt;=O$14)*$E$5:$E$12)</f>
        <v/>
      </c>
      <c r="P15" s="53">
        <f>SUMPRODUCT(($C$5:$C$12&lt;=P$14)*($D$5:$D$12&gt;=P$14)*$E$5:$E$12)</f>
        <v/>
      </c>
      <c r="Q15" s="53">
        <f>SUMPRODUCT(($C$5:$C$12&lt;=Q$14)*($D$5:$D$12&gt;=Q$14)*$E$5:$E$12)</f>
        <v/>
      </c>
      <c r="R15" s="53">
        <f>SUMPRODUCT(($C$5:$C$12&lt;=R$14)*($D$5:$D$12&gt;=R$14)*$E$5:$E$12)</f>
        <v/>
      </c>
      <c r="S15" s="53">
        <f>SUMPRODUCT(($C$5:$C$12&lt;=S$14)*($D$5:$D$12&gt;=S$14)*$E$5:$E$12)</f>
        <v/>
      </c>
    </row>
    <row r="16" ht="15" customHeight="1" s="46">
      <c r="A16" s="45" t="inlineStr">
        <is>
          <t>Encaissements (ventes)</t>
        </is>
      </c>
      <c r="B16" s="53">
        <f>SUMIF(8_Previsions_Ventes!$H$5:$H$8,B$14,8_Previsions_Ventes!$G$5:$G$8)</f>
        <v/>
      </c>
      <c r="C16" s="53">
        <f>SUMIF(8_Previsions_Ventes!$H$5:$H$8,C$14,8_Previsions_Ventes!$G$5:$G$8)</f>
        <v/>
      </c>
      <c r="D16" s="53">
        <f>SUMIF(8_Previsions_Ventes!$H$5:$H$8,D$14,8_Previsions_Ventes!$G$5:$G$8)</f>
        <v/>
      </c>
      <c r="E16" s="53">
        <f>SUMIF(8_Previsions_Ventes!$H$5:$H$8,E$14,8_Previsions_Ventes!$G$5:$G$8)</f>
        <v/>
      </c>
      <c r="F16" s="53">
        <f>SUMIF(8_Previsions_Ventes!$H$5:$H$8,F$14,8_Previsions_Ventes!$G$5:$G$8)</f>
        <v/>
      </c>
      <c r="G16" s="53">
        <f>SUMIF(8_Previsions_Ventes!$H$5:$H$8,G$14,8_Previsions_Ventes!$G$5:$G$8)</f>
        <v/>
      </c>
      <c r="H16" s="53">
        <f>SUMIF(8_Previsions_Ventes!$H$5:$H$8,H$14,8_Previsions_Ventes!$G$5:$G$8)</f>
        <v/>
      </c>
      <c r="I16" s="53">
        <f>SUMIF(8_Previsions_Ventes!$H$5:$H$8,I$14,8_Previsions_Ventes!$G$5:$G$8)</f>
        <v/>
      </c>
      <c r="J16" s="53">
        <f>SUMIF(8_Previsions_Ventes!$H$5:$H$8,J$14,8_Previsions_Ventes!$G$5:$G$8)</f>
        <v/>
      </c>
      <c r="K16" s="53">
        <f>SUMIF(8_Previsions_Ventes!$H$5:$H$8,K$14,8_Previsions_Ventes!$G$5:$G$8)</f>
        <v/>
      </c>
      <c r="L16" s="53">
        <f>SUMIF(8_Previsions_Ventes!$H$5:$H$8,L$14,8_Previsions_Ventes!$G$5:$G$8)</f>
        <v/>
      </c>
      <c r="M16" s="53">
        <f>SUMIF(8_Previsions_Ventes!$H$5:$H$8,M$14,8_Previsions_Ventes!$G$5:$G$8)</f>
        <v/>
      </c>
      <c r="N16" s="53">
        <f>SUMIF(8_Previsions_Ventes!$H$5:$H$8,N$14,8_Previsions_Ventes!$G$5:$G$8)</f>
        <v/>
      </c>
      <c r="O16" s="53">
        <f>SUMIF(8_Previsions_Ventes!$H$5:$H$8,O$14,8_Previsions_Ventes!$G$5:$G$8)</f>
        <v/>
      </c>
      <c r="P16" s="53">
        <f>SUMIF(8_Previsions_Ventes!$H$5:$H$8,P$14,8_Previsions_Ventes!$G$5:$G$8)</f>
        <v/>
      </c>
      <c r="Q16" s="53">
        <f>SUMIF(8_Previsions_Ventes!$H$5:$H$8,Q$14,8_Previsions_Ventes!$G$5:$G$8)</f>
        <v/>
      </c>
      <c r="R16" s="53">
        <f>SUMIF(8_Previsions_Ventes!$H$5:$H$8,R$14,8_Previsions_Ventes!$G$5:$G$8)</f>
        <v/>
      </c>
      <c r="S16" s="53">
        <f>SUMIF(8_Previsions_Ventes!$H$5:$H$8,S$14,8_Previsions_Ventes!$G$5:$G$8)</f>
        <v/>
      </c>
    </row>
    <row r="17" ht="15" customHeight="1" s="46">
      <c r="A17" s="45" t="inlineStr">
        <is>
          <t>Apport propre injecté</t>
        </is>
      </c>
      <c r="B17" s="53">
        <f>IF(B$14=1,6_Plan_Financement!$B$7,0)</f>
        <v/>
      </c>
      <c r="C17" s="53">
        <f>IF(C$14=1,6_Plan_Financement!$B$7,0)</f>
        <v/>
      </c>
      <c r="D17" s="53">
        <f>IF(D$14=1,6_Plan_Financement!$B$7,0)</f>
        <v/>
      </c>
      <c r="E17" s="53">
        <f>IF(E$14=1,6_Plan_Financement!$B$7,0)</f>
        <v/>
      </c>
      <c r="F17" s="53">
        <f>IF(F$14=1,6_Plan_Financement!$B$7,0)</f>
        <v/>
      </c>
      <c r="G17" s="53">
        <f>IF(G$14=1,6_Plan_Financement!$B$7,0)</f>
        <v/>
      </c>
      <c r="H17" s="53">
        <f>IF(H$14=1,6_Plan_Financement!$B$7,0)</f>
        <v/>
      </c>
      <c r="I17" s="53">
        <f>IF(I$14=1,6_Plan_Financement!$B$7,0)</f>
        <v/>
      </c>
      <c r="J17" s="53">
        <f>IF(J$14=1,6_Plan_Financement!$B$7,0)</f>
        <v/>
      </c>
      <c r="K17" s="53">
        <f>IF(K$14=1,6_Plan_Financement!$B$7,0)</f>
        <v/>
      </c>
      <c r="L17" s="53">
        <f>IF(L$14=1,6_Plan_Financement!$B$7,0)</f>
        <v/>
      </c>
      <c r="M17" s="53">
        <f>IF(M$14=1,6_Plan_Financement!$B$7,0)</f>
        <v/>
      </c>
      <c r="N17" s="53">
        <f>IF(N$14=1,6_Plan_Financement!$B$7,0)</f>
        <v/>
      </c>
      <c r="O17" s="53">
        <f>IF(O$14=1,6_Plan_Financement!$B$7,0)</f>
        <v/>
      </c>
      <c r="P17" s="53">
        <f>IF(P$14=1,6_Plan_Financement!$B$7,0)</f>
        <v/>
      </c>
      <c r="Q17" s="53">
        <f>IF(Q$14=1,6_Plan_Financement!$B$7,0)</f>
        <v/>
      </c>
      <c r="R17" s="53">
        <f>IF(R$14=1,6_Plan_Financement!$B$7,0)</f>
        <v/>
      </c>
      <c r="S17" s="53">
        <f>IF(S$14=1,6_Plan_Financement!$B$7,0)</f>
        <v/>
      </c>
    </row>
    <row r="18" ht="15" customHeight="1" s="46">
      <c r="A18" s="45" t="inlineStr">
        <is>
          <t>Solde mensuel (hors crédit)</t>
        </is>
      </c>
      <c r="B18" s="53">
        <f>B16+B17-B15</f>
        <v/>
      </c>
      <c r="C18" s="53">
        <f>C16+C17-C15</f>
        <v/>
      </c>
      <c r="D18" s="53">
        <f>D16+D17-D15</f>
        <v/>
      </c>
      <c r="E18" s="53">
        <f>E16+E17-E15</f>
        <v/>
      </c>
      <c r="F18" s="53">
        <f>F16+F17-F15</f>
        <v/>
      </c>
      <c r="G18" s="53">
        <f>G16+G17-G15</f>
        <v/>
      </c>
      <c r="H18" s="53">
        <f>H16+H17-H15</f>
        <v/>
      </c>
      <c r="I18" s="53">
        <f>I16+I17-I15</f>
        <v/>
      </c>
      <c r="J18" s="53">
        <f>J16+J17-J15</f>
        <v/>
      </c>
      <c r="K18" s="53">
        <f>K16+K17-K15</f>
        <v/>
      </c>
      <c r="L18" s="53">
        <f>L16+L17-L15</f>
        <v/>
      </c>
      <c r="M18" s="53">
        <f>M16+M17-M15</f>
        <v/>
      </c>
      <c r="N18" s="53">
        <f>N16+N17-N15</f>
        <v/>
      </c>
      <c r="O18" s="53">
        <f>O16+O17-O15</f>
        <v/>
      </c>
      <c r="P18" s="53">
        <f>P16+P17-P15</f>
        <v/>
      </c>
      <c r="Q18" s="53">
        <f>Q16+Q17-Q15</f>
        <v/>
      </c>
      <c r="R18" s="53">
        <f>R16+R17-R15</f>
        <v/>
      </c>
      <c r="S18" s="53">
        <f>S16+S17-S15</f>
        <v/>
      </c>
    </row>
    <row r="19" ht="15" customHeight="1" s="46">
      <c r="A19" s="45" t="inlineStr">
        <is>
          <t>Solde cumulé (hors crédit)</t>
        </is>
      </c>
      <c r="B19" s="53">
        <f>B18</f>
        <v/>
      </c>
      <c r="C19" s="53">
        <f>B19+C18</f>
        <v/>
      </c>
      <c r="D19" s="53">
        <f>C19+D18</f>
        <v/>
      </c>
      <c r="E19" s="53">
        <f>D19+E18</f>
        <v/>
      </c>
      <c r="F19" s="53">
        <f>E19+F18</f>
        <v/>
      </c>
      <c r="G19" s="53">
        <f>F19+G18</f>
        <v/>
      </c>
      <c r="H19" s="53">
        <f>G19+H18</f>
        <v/>
      </c>
      <c r="I19" s="53">
        <f>H19+I18</f>
        <v/>
      </c>
      <c r="J19" s="53">
        <f>I19+J18</f>
        <v/>
      </c>
      <c r="K19" s="53">
        <f>J19+K18</f>
        <v/>
      </c>
      <c r="L19" s="53">
        <f>K19+L18</f>
        <v/>
      </c>
      <c r="M19" s="53">
        <f>L19+M18</f>
        <v/>
      </c>
      <c r="N19" s="53">
        <f>M19+N18</f>
        <v/>
      </c>
      <c r="O19" s="53">
        <f>N19+O18</f>
        <v/>
      </c>
      <c r="P19" s="53">
        <f>O19+P18</f>
        <v/>
      </c>
      <c r="Q19" s="53">
        <f>P19+Q18</f>
        <v/>
      </c>
      <c r="R19" s="53">
        <f>Q19+R18</f>
        <v/>
      </c>
      <c r="S19" s="53">
        <f>R19+S18</f>
        <v/>
      </c>
    </row>
    <row r="21" ht="15" customHeight="1" s="46">
      <c r="A21" s="51" t="inlineStr">
        <is>
          <t>Déficit cumulé maximal (pic de trésorerie)</t>
        </is>
      </c>
      <c r="B21" s="53">
        <f>MAX(0,-MIN(B19:S19))</f>
        <v/>
      </c>
    </row>
    <row r="22" ht="15" customHeight="1" s="46">
      <c r="A22" s="45" t="inlineStr">
        <is>
          <t>Crédit recommandé actuel (onglet 6)</t>
        </is>
      </c>
      <c r="B22" s="53">
        <f>6_Plan_Financement!B8</f>
        <v/>
      </c>
    </row>
    <row r="23" ht="15" customHeight="1" s="46">
      <c r="A23" s="45" t="inlineStr">
        <is>
          <t>Économie potentielle si crédit dimensionné sur le pic</t>
        </is>
      </c>
      <c r="B23" s="53">
        <f>MAX(0,B22-B21)</f>
        <v/>
      </c>
    </row>
    <row r="24" ht="15" customHeight="1" s="46">
      <c r="A24" s="45" t="inlineStr">
        <is>
          <t>Lecture</t>
        </is>
      </c>
      <c r="B24" s="45">
        <f>IF(B21&lt;B22,"Pic de trésorerie inférieur au crédit calculé : réduire le montant ou resserrer les tranches de décaissement.","Crédit aligné sur le besoin réel de trésorerie.")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5" min="1" max="1"/>
    <col width="16" customWidth="1" style="45" min="2" max="6"/>
    <col width="12" customWidth="1" style="45" min="7" max="7"/>
  </cols>
  <sheetData>
    <row r="1" ht="17.25" customHeight="1" s="46">
      <c r="A1" s="47" t="inlineStr">
        <is>
          <t>Analyse de sensibilité &amp; stress test</t>
        </is>
      </c>
    </row>
    <row r="2" ht="15" customHeight="1" s="46">
      <c r="A2" s="45" t="inlineStr">
        <is>
          <t>Aucun dossier ne se juge sur la seule hypothèse centrale : le DSCR doit résister aux chocs ci-dessous.</t>
        </is>
      </c>
    </row>
    <row r="4" ht="15" customHeight="1" s="46">
      <c r="A4" s="49" t="inlineStr">
        <is>
          <t>Chocs paramétrables</t>
        </is>
      </c>
      <c r="B4" s="49" t="inlineStr">
        <is>
          <t>Ampleur</t>
        </is>
      </c>
    </row>
    <row r="5" ht="15" customHeight="1" s="46">
      <c r="A5" s="45" t="inlineStr">
        <is>
          <t>Baisse de rendement</t>
        </is>
      </c>
      <c r="B5" s="79" t="n">
        <v>0.2</v>
      </c>
    </row>
    <row r="6" ht="15" customHeight="1" s="46">
      <c r="A6" s="45" t="inlineStr">
        <is>
          <t>Baisse de prix</t>
        </is>
      </c>
      <c r="B6" s="79" t="n">
        <v>0.15</v>
      </c>
    </row>
    <row r="7" ht="15" customHeight="1" s="46">
      <c r="A7" s="45" t="inlineStr">
        <is>
          <t>Hausse des coûts</t>
        </is>
      </c>
      <c r="B7" s="79" t="n">
        <v>0.1</v>
      </c>
    </row>
    <row r="9" ht="27.75" customHeight="1" s="46">
      <c r="A9" s="49" t="inlineStr">
        <is>
          <t>Scénario</t>
        </is>
      </c>
      <c r="B9" s="49" t="inlineStr">
        <is>
          <t>Recettes</t>
        </is>
      </c>
      <c r="C9" s="49" t="inlineStr">
        <is>
          <t>Charges expl.</t>
        </is>
      </c>
      <c r="D9" s="49" t="inlineStr">
        <is>
          <t>EBE</t>
        </is>
      </c>
      <c r="E9" s="49" t="inlineStr">
        <is>
          <t>Service de la dette</t>
        </is>
      </c>
      <c r="F9" s="49" t="inlineStr">
        <is>
          <t>DSCR</t>
        </is>
      </c>
      <c r="G9" s="49" t="inlineStr">
        <is>
          <t>Avis</t>
        </is>
      </c>
    </row>
    <row r="10" ht="15" customHeight="1" s="46">
      <c r="A10" s="45" t="inlineStr">
        <is>
          <t>Central (hypothèses du dossier)</t>
        </is>
      </c>
      <c r="B10" s="53">
        <f>8_Previsions_Ventes!G9</f>
        <v/>
      </c>
      <c r="C10" s="53">
        <f>9_Compte_Exploitation!B7</f>
        <v/>
      </c>
      <c r="D10" s="53">
        <f>B10-C10</f>
        <v/>
      </c>
      <c r="E10" s="53">
        <f>10_Capacite_Remboursement!B10</f>
        <v/>
      </c>
      <c r="F10" s="83">
        <f>IFERROR(D10/E10,0)</f>
        <v/>
      </c>
      <c r="G10" s="45">
        <f>IF(F10&gt;=1.2,"OK",IF(F10&gt;=1,"Limite","Fragile"))</f>
        <v/>
      </c>
    </row>
    <row r="11" ht="15" customHeight="1" s="46">
      <c r="A11" s="45" t="inlineStr">
        <is>
          <t>Rendement −</t>
        </is>
      </c>
      <c r="B11" s="53">
        <f>8_Previsions_Ventes!G9*(1-$B$5)</f>
        <v/>
      </c>
      <c r="C11" s="53">
        <f>$C$10</f>
        <v/>
      </c>
      <c r="D11" s="53">
        <f>B11-C11</f>
        <v/>
      </c>
      <c r="E11" s="53">
        <f>10_Capacite_Remboursement!B10</f>
        <v/>
      </c>
      <c r="F11" s="83">
        <f>IFERROR(D11/E11,0)</f>
        <v/>
      </c>
      <c r="G11" s="45">
        <f>IF(F11&gt;=1.2,"OK",IF(F11&gt;=1,"Limite","Fragile"))</f>
        <v/>
      </c>
    </row>
    <row r="12" ht="15" customHeight="1" s="46">
      <c r="A12" s="45" t="inlineStr">
        <is>
          <t>Prix −</t>
        </is>
      </c>
      <c r="B12" s="53">
        <f>8_Previsions_Ventes!G9*(1-$B$6)</f>
        <v/>
      </c>
      <c r="C12" s="53">
        <f>$C$10</f>
        <v/>
      </c>
      <c r="D12" s="53">
        <f>B12-C12</f>
        <v/>
      </c>
      <c r="E12" s="53">
        <f>10_Capacite_Remboursement!B10</f>
        <v/>
      </c>
      <c r="F12" s="83">
        <f>IFERROR(D12/E12,0)</f>
        <v/>
      </c>
      <c r="G12" s="45">
        <f>IF(F12&gt;=1.2,"OK",IF(F12&gt;=1,"Limite","Fragile"))</f>
        <v/>
      </c>
    </row>
    <row r="13" ht="15" customHeight="1" s="46">
      <c r="A13" s="45" t="inlineStr">
        <is>
          <t>Coûts +</t>
        </is>
      </c>
      <c r="B13" s="53">
        <f>$B$10</f>
        <v/>
      </c>
      <c r="C13" s="53">
        <f>9_Compte_Exploitation!B7*(1+$B$7)</f>
        <v/>
      </c>
      <c r="D13" s="53">
        <f>B13-C13</f>
        <v/>
      </c>
      <c r="E13" s="53">
        <f>10_Capacite_Remboursement!B10</f>
        <v/>
      </c>
      <c r="F13" s="83">
        <f>IFERROR(D13/E13,0)</f>
        <v/>
      </c>
      <c r="G13" s="45">
        <f>IF(F13&gt;=1.2,"OK",IF(F13&gt;=1,"Limite","Fragile"))</f>
        <v/>
      </c>
    </row>
    <row r="14" ht="15" customHeight="1" s="46">
      <c r="A14" s="45" t="inlineStr">
        <is>
          <t>Combiné (rendement − / prix − / coûts +)</t>
        </is>
      </c>
      <c r="B14" s="53">
        <f>8_Previsions_Ventes!G9*(1-$B$5)*(1-$B$6)</f>
        <v/>
      </c>
      <c r="C14" s="53">
        <f>9_Compte_Exploitation!B7*(1+$B$7)</f>
        <v/>
      </c>
      <c r="D14" s="53">
        <f>B14-C14</f>
        <v/>
      </c>
      <c r="E14" s="53">
        <f>10_Capacite_Remboursement!B10</f>
        <v/>
      </c>
      <c r="F14" s="83">
        <f>IFERROR(D14/E14,0)</f>
        <v/>
      </c>
      <c r="G14" s="45">
        <f>IF(F14&gt;=1.2,"OK",IF(F14&gt;=1,"Limite","Fragile"))</f>
        <v/>
      </c>
    </row>
    <row r="16" ht="15" customHeight="1" s="46">
      <c r="A16" s="51" t="inlineStr">
        <is>
          <t>DSCR minimal (tous scénarios)</t>
        </is>
      </c>
      <c r="B16" s="54">
        <f>MIN(F11:F14)</f>
        <v/>
      </c>
    </row>
    <row r="17" ht="15" customHeight="1" s="46">
      <c r="A17" s="51" t="inlineStr">
        <is>
          <t>Plafond prudentiel de service de la dette (EBE combiné ÷ seuil DSCR)</t>
        </is>
      </c>
      <c r="B17" s="53">
        <f>D14/1_Accueil_Parametres!B22</f>
        <v/>
      </c>
    </row>
    <row r="18" ht="15" customHeight="1" s="46">
      <c r="A18" s="51" t="inlineStr">
        <is>
          <t>Contrôle prudentiel</t>
        </is>
      </c>
      <c r="B18" s="45">
        <f>IF(E10&lt;=B17,"OK — la dette est soutenable même en scénario combiné","Dépassement : réduire le crédit ou renforcer garanties/domiciliation")</f>
        <v/>
      </c>
    </row>
    <row r="20" ht="15" customHeight="1" s="46">
      <c r="A20" s="51" t="inlineStr">
        <is>
          <t>Rendement de point mort (t/ha)</t>
        </is>
      </c>
      <c r="B20" s="54">
        <f>(10_Capacite_Remboursement!B10+9_Compte_Exploitation!B7-(8_Previsions_Ventes!G9-8_Previsions_Ventes!G5))/(8_Previsions_Ventes!D2*(1-8_Previsions_Ventes!D5)*8_Previsions_Ventes!F5)</f>
        <v/>
      </c>
      <c r="C20" s="45" t="inlineStr">
        <is>
          <t>Rendement minimal couvrant charges + service de la dette</t>
        </is>
      </c>
    </row>
    <row r="21" ht="15" customHeight="1" s="46">
      <c r="A21" s="51" t="inlineStr">
        <is>
          <t>Prix de point mort (USD/t)</t>
        </is>
      </c>
      <c r="B21" s="53">
        <f>(10_Capacite_Remboursement!B10+9_Compte_Exploitation!B7-(8_Previsions_Ventes!G9-8_Previsions_Ventes!G5))/8_Previsions_Ventes!E5</f>
        <v/>
      </c>
      <c r="C21" s="45" t="inlineStr">
        <is>
          <t>Prix minimal à quantité vendable constante</t>
        </is>
      </c>
    </row>
    <row r="22" ht="15" customHeight="1" s="46">
      <c r="A22" s="51" t="inlineStr">
        <is>
          <t>Marge de sécurité sur le rendement</t>
        </is>
      </c>
      <c r="B22" s="81">
        <f>1-B20/8_Previsions_Ventes!B2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45" min="1" max="1"/>
    <col width="14" customWidth="1" style="45" min="2" max="2"/>
    <col width="10" customWidth="1" style="45" min="3" max="4"/>
    <col width="52" customWidth="1" style="45" min="5" max="5"/>
    <col width="38" customWidth="1" style="45" min="6" max="6"/>
    <col width="16" customWidth="1" style="45" min="7" max="7"/>
    <col width="14" customWidth="1" style="45" min="8" max="8"/>
  </cols>
  <sheetData>
    <row r="1" ht="17.25" customHeight="1" s="46">
      <c r="A1" s="47" t="inlineStr">
        <is>
          <t>Contrôles de vraisemblance technico-économique</t>
        </is>
      </c>
    </row>
    <row r="2" ht="15" customHeight="1" s="46">
      <c r="A2" s="45" t="inlineStr">
        <is>
          <t>Références indicatives (jaune) à actualiser depuis le fichier AGRICAP_REF_Referentiels selon la filière et la zone. Un écart = point à instruire, pas un rejet automatique.</t>
        </is>
      </c>
    </row>
    <row r="4" ht="27.75" customHeight="1" s="46">
      <c r="A4" s="49" t="inlineStr">
        <is>
          <t>Indicateur</t>
        </is>
      </c>
      <c r="B4" s="49" t="inlineStr">
        <is>
          <t>Valeur du dossier</t>
        </is>
      </c>
      <c r="C4" s="49" t="inlineStr">
        <is>
          <t>Réf. min</t>
        </is>
      </c>
      <c r="D4" s="49" t="inlineStr">
        <is>
          <t>Réf. max</t>
        </is>
      </c>
      <c r="E4" s="49" t="inlineStr">
        <is>
          <t>Verdict</t>
        </is>
      </c>
      <c r="F4" s="49" t="inlineStr">
        <is>
          <t>Commentaire</t>
        </is>
      </c>
      <c r="G4" s="49" t="inlineStr">
        <is>
          <t>Justification fournie ?</t>
        </is>
      </c>
      <c r="H4" s="49" t="inlineStr">
        <is>
          <t>Verdict final</t>
        </is>
      </c>
    </row>
    <row r="5" ht="15" customHeight="1" s="46">
      <c r="A5" s="45" t="inlineStr">
        <is>
          <t>Coût d'exploitation par ha (USD/ha)</t>
        </is>
      </c>
      <c r="B5" s="53">
        <f>9_Compte_Exploitation!B7/8_Previsions_Ventes!D2</f>
        <v/>
      </c>
      <c r="C5" s="52" t="n"/>
      <c r="D5" s="52" t="n"/>
      <c r="E5" s="45">
        <f>IF(B5&lt;C5,"À vérifier — coûts sous-estimés (risque de crédit insuffisant)",IF(B5&gt;D5,"À vérifier — coûts élevés","OK"))</f>
        <v/>
      </c>
      <c r="F5" s="45" t="inlineStr">
        <is>
          <t>Plages à établir par la boucle d'apprentissage (principe 10) — aucune référence indicative disponible pour cette filière.</t>
        </is>
      </c>
      <c r="G5" s="52" t="inlineStr">
        <is>
          <t>Non</t>
        </is>
      </c>
      <c r="H5" s="71">
        <f>IF(E5="OK","OK",IF(G5="Oui","Justifié","À instruire"))</f>
        <v/>
      </c>
    </row>
    <row r="6" ht="15" customHeight="1" s="46">
      <c r="A6" s="45" t="inlineStr">
        <is>
          <t>Rendement attendu (t/ha)</t>
        </is>
      </c>
      <c r="B6" s="54">
        <f>8_Previsions_Ventes!B2</f>
        <v/>
      </c>
      <c r="C6" s="52" t="n"/>
      <c r="D6" s="52" t="n"/>
      <c r="E6" s="45">
        <f>IF(B6&gt;D6,"À vérifier — hypothèse optimiste",IF(B6&lt;C6,"Faible — rentabilité à démontrer","OK"))</f>
        <v/>
      </c>
      <c r="F6" s="45" t="n"/>
      <c r="G6" s="52" t="inlineStr">
        <is>
          <t>Non</t>
        </is>
      </c>
      <c r="H6" s="71">
        <f>IF(E6="OK","OK",IF(G6="Oui","Justifié","À instruire"))</f>
        <v/>
      </c>
    </row>
    <row r="7" ht="15" customHeight="1" s="46">
      <c r="A7" s="45" t="inlineStr">
        <is>
          <t>Densité de plantation (unités/ha)</t>
        </is>
      </c>
      <c r="B7" s="54">
        <f>4_Besoins_Financiers!E5/8_Previsions_Ventes!D2</f>
        <v/>
      </c>
      <c r="C7" s="52" t="n"/>
      <c r="D7" s="52" t="n"/>
      <c r="E7" s="45">
        <f>IF(B7&lt;C7,"À vérifier — sous-dosage déclaré",IF(B7&gt;D7,"À vérifier — sur-dosage","OK"))</f>
        <v/>
      </c>
      <c r="F7" s="45" t="n"/>
      <c r="G7" s="52" t="inlineStr">
        <is>
          <t>Non</t>
        </is>
      </c>
      <c r="H7" s="71">
        <f>IF(E7="OK","OK",IF(G7="Oui","Justifié","À instruire"))</f>
        <v/>
      </c>
    </row>
    <row r="8" ht="15" customHeight="1" s="46">
      <c r="A8" s="45" t="inlineStr">
        <is>
          <t>Prix de vente retenu (USD/t)</t>
        </is>
      </c>
      <c r="B8" s="53">
        <f>8_Previsions_Ventes!F5</f>
        <v/>
      </c>
      <c r="C8" s="52" t="n"/>
      <c r="D8" s="52" t="n"/>
      <c r="E8" s="45">
        <f>IF(B8&gt;D8,"À vérifier — prix optimiste",IF(B8&lt;C8,"Prudent","OK"))</f>
        <v/>
      </c>
      <c r="F8" s="45" t="n"/>
      <c r="G8" s="52" t="inlineStr">
        <is>
          <t>Non</t>
        </is>
      </c>
      <c r="H8" s="71">
        <f>IF(E8="OK","OK",IF(G8="Oui","Justifié","À instruire"))</f>
        <v/>
      </c>
    </row>
    <row r="9" ht="15" customHeight="1" s="46">
      <c r="A9" s="45" t="inlineStr">
        <is>
          <t>Taux de perte post-récolte</t>
        </is>
      </c>
      <c r="B9" s="81">
        <f>8_Previsions_Ventes!D5</f>
        <v/>
      </c>
      <c r="C9" s="79" t="n"/>
      <c r="D9" s="79" t="n"/>
      <c r="E9" s="45">
        <f>IF(B9&lt;C9,"À vérifier — pertes sous-estimées",IF(B9&gt;D9,"Élevé — post-récolte à sécuriser","OK"))</f>
        <v/>
      </c>
      <c r="G9" s="52" t="inlineStr">
        <is>
          <t>Non</t>
        </is>
      </c>
      <c r="H9" s="71">
        <f>IF(E9="OK","OK",IF(G9="Oui","Justifié","À instruire"))</f>
        <v/>
      </c>
    </row>
    <row r="10" ht="15" customHeight="1" s="46">
      <c r="A10" s="45" t="inlineStr">
        <is>
          <t>Fenêtre de semis respectée (calendrier de la zone)</t>
        </is>
      </c>
      <c r="B10" s="52" t="inlineStr">
        <is>
          <t>À vérifier</t>
        </is>
      </c>
      <c r="E10" s="45">
        <f>IF(B10="Oui","OK","À vérifier — semis hors fenêtre = risque majeur")</f>
        <v/>
      </c>
      <c r="G10" s="52" t="inlineStr">
        <is>
          <t>Non</t>
        </is>
      </c>
      <c r="H10" s="71">
        <f>IF(E10="OK","OK",IF(G10="Oui","Justifié","À instruire"))</f>
        <v/>
      </c>
    </row>
    <row r="12" ht="15" customHeight="1" s="46">
      <c r="A12" s="51" t="inlineStr">
        <is>
          <t>Synthèse</t>
        </is>
      </c>
      <c r="B12" s="71">
        <f>IF(COUNTIF(H5:H10,"OK")+COUNTIF(H5:H10,"Justifié")=6,"Dossier techniquement vraisemblable (écarts justifiés inclus)","Points à instruire : "&amp;(6-COUNTIF(H5:H10,"OK")-COUNTIF(H5:H10,"Justifié"))&amp;" indicateur(s)")</f>
        <v/>
      </c>
    </row>
  </sheetData>
  <dataValidations count="2">
    <dataValidation sqref="B10" showDropDown="0" showInputMessage="0" showErrorMessage="0" allowBlank="1" type="list" errorStyle="stop" operator="between">
      <formula1>"Oui,Non,À vérifier"</formula1>
      <formula2>0</formula2>
    </dataValidation>
    <dataValidation sqref="G5:G10" showDropDown="0" showInputMessage="0" showErrorMessage="0" allowBlank="1" type="list" errorStyle="stop" operator="between">
      <formula1>"Oui,Non"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5" min="1" max="1"/>
    <col width="30" customWidth="1" style="45" min="2" max="2"/>
    <col width="10" customWidth="1" style="45" min="3" max="3"/>
    <col width="16" customWidth="1" style="45" min="4" max="4"/>
    <col width="56" customWidth="1" style="45" min="5" max="5"/>
    <col width="30" customWidth="1" style="45" min="6" max="6"/>
    <col width="12" customWidth="1" style="45" min="7" max="7"/>
    <col width="24" customWidth="1" style="45" min="8" max="8"/>
    <col width="12" customWidth="1" style="45" min="9" max="9"/>
    <col width="20" customWidth="1" style="45" min="10" max="10"/>
  </cols>
  <sheetData>
    <row r="1" ht="17.25" customHeight="1" s="46">
      <c r="A1" s="47" t="inlineStr">
        <is>
          <t>Suivi post-décaissement — jalons conditionnant les tranches</t>
        </is>
      </c>
    </row>
    <row r="2" ht="15" customHeight="1" s="46">
      <c r="A2" s="45" t="inlineStr">
        <is>
          <t>Le déblocage de chaque tranche (onglet 7) est conditionné à la conformité du jalon précédent. Constats à documenter via l'application (photos géolocalisées).</t>
        </is>
      </c>
    </row>
    <row r="4" ht="27.75" customHeight="1" s="46">
      <c r="A4" s="49" t="inlineStr">
        <is>
          <t>N°</t>
        </is>
      </c>
      <c r="B4" s="49" t="inlineStr">
        <is>
          <t>Jalon</t>
        </is>
      </c>
      <c r="C4" s="49" t="inlineStr">
        <is>
          <t>Mois prévu</t>
        </is>
      </c>
      <c r="D4" s="49" t="inlineStr">
        <is>
          <t>Tranche conditionnée</t>
        </is>
      </c>
      <c r="E4" s="49" t="inlineStr">
        <is>
          <t>Vérification attendue</t>
        </is>
      </c>
      <c r="F4" s="49" t="inlineStr">
        <is>
          <t>Constat terrain</t>
        </is>
      </c>
      <c r="G4" s="49" t="inlineStr">
        <is>
          <t>Date visite</t>
        </is>
      </c>
      <c r="H4" s="49" t="inlineStr">
        <is>
          <t>Réf. photo / géoloc (app)</t>
        </is>
      </c>
      <c r="I4" s="49" t="inlineStr">
        <is>
          <t>Statut</t>
        </is>
      </c>
      <c r="J4" s="49" t="inlineStr">
        <is>
          <t>Décision</t>
        </is>
      </c>
    </row>
    <row r="5" ht="15" customHeight="1" s="46">
      <c r="A5" s="45" t="n">
        <v>1</v>
      </c>
      <c r="B5" s="45" t="inlineStr">
        <is>
          <t>Validation du dossier &amp; signatures</t>
        </is>
      </c>
      <c r="C5" s="45" t="inlineStr">
        <is>
          <t>0</t>
        </is>
      </c>
      <c r="D5" s="45" t="inlineStr">
        <is>
          <t>Tranche 1</t>
        </is>
      </c>
      <c r="E5" s="45" t="inlineStr">
        <is>
          <t>Dossier complet, garanties formalisées, convention tripartite acheteur signée</t>
        </is>
      </c>
      <c r="F5" s="52" t="n"/>
      <c r="G5" s="52" t="n"/>
      <c r="H5" s="52" t="n"/>
      <c r="I5" s="52" t="n"/>
      <c r="J5" s="52" t="n"/>
    </row>
    <row r="6" ht="15" customHeight="1" s="46">
      <c r="A6" s="45" t="n">
        <v>2</v>
      </c>
      <c r="B6" s="45" t="inlineStr">
        <is>
          <t>Levée / implantation</t>
        </is>
      </c>
      <c r="C6" s="45" t="inlineStr">
        <is>
          <t>2</t>
        </is>
      </c>
      <c r="D6" s="45" t="inlineStr">
        <is>
          <t>Tranche 2</t>
        </is>
      </c>
      <c r="E6" s="45" t="inlineStr">
        <is>
          <t>Implantation conforme au plan (dimension, densité, état sanitaire)</t>
        </is>
      </c>
      <c r="F6" s="52" t="n"/>
      <c r="G6" s="52" t="n"/>
      <c r="H6" s="52" t="n"/>
      <c r="I6" s="52" t="n"/>
      <c r="J6" s="52" t="n"/>
    </row>
    <row r="7" ht="15" customHeight="1" s="46">
      <c r="A7" s="45" t="n">
        <v>3</v>
      </c>
      <c r="B7" s="45" t="inlineStr">
        <is>
          <t>Entretien / croissance</t>
        </is>
      </c>
      <c r="C7" s="45" t="inlineStr">
        <is>
          <t>3–4</t>
        </is>
      </c>
      <c r="D7" s="45" t="inlineStr">
        <is>
          <t>(suivi)</t>
        </is>
      </c>
      <c r="E7" s="45" t="inlineStr">
        <is>
          <t>Sarclages et traitements réalisés, état sanitaire, absence de détournement d'objet</t>
        </is>
      </c>
      <c r="F7" s="52" t="n"/>
      <c r="G7" s="52" t="n"/>
      <c r="H7" s="52" t="n"/>
      <c r="I7" s="52" t="n"/>
      <c r="J7" s="52" t="n"/>
    </row>
    <row r="8" ht="15" customHeight="1" s="46">
      <c r="A8" s="45" t="n">
        <v>4</v>
      </c>
      <c r="B8" s="45" t="inlineStr">
        <is>
          <t>Pré-récolte</t>
        </is>
      </c>
      <c r="C8" s="45" t="inlineStr">
        <is>
          <t>5</t>
        </is>
      </c>
      <c r="D8" s="45" t="inlineStr">
        <is>
          <t>Tranche 3</t>
        </is>
      </c>
      <c r="E8" s="45" t="inlineStr">
        <is>
          <t>Estimation de production au champ, organisation de la récolte</t>
        </is>
      </c>
      <c r="F8" s="52" t="n"/>
      <c r="G8" s="52" t="n"/>
      <c r="H8" s="52" t="n"/>
      <c r="I8" s="52" t="n"/>
      <c r="J8" s="52" t="n"/>
    </row>
    <row r="9" ht="15" customHeight="1" s="46">
      <c r="A9" s="45" t="n">
        <v>5</v>
      </c>
      <c r="B9" s="45" t="inlineStr">
        <is>
          <t>Post-récolte / commercialisation</t>
        </is>
      </c>
      <c r="C9" s="45" t="inlineStr">
        <is>
          <t>6</t>
        </is>
      </c>
      <c r="D9" s="45" t="inlineStr">
        <is>
          <t>Remboursement</t>
        </is>
      </c>
      <c r="E9" s="45" t="inlineStr">
        <is>
          <t>Stock entreposé (warrant), ventes domiciliées sur le wallet, prélèvement à la source</t>
        </is>
      </c>
      <c r="F9" s="52" t="n"/>
      <c r="G9" s="52" t="n"/>
      <c r="H9" s="52" t="n"/>
      <c r="I9" s="52" t="n"/>
      <c r="J9" s="52" t="n"/>
    </row>
    <row r="11" ht="15" customHeight="1" s="46">
      <c r="A11" s="45" t="inlineStr">
        <is>
          <t>Règle : aucun décaissement si le jalon précédent est « Alerte » non levée ou « Bloquant ».</t>
        </is>
      </c>
    </row>
  </sheetData>
  <dataValidations count="2">
    <dataValidation sqref="I5:I9" showDropDown="0" showInputMessage="0" showErrorMessage="0" allowBlank="1" type="list" errorStyle="stop" operator="between">
      <formula1>"Conforme,Alerte,Bloquant"</formula1>
      <formula2>0</formula2>
    </dataValidation>
    <dataValidation sqref="J5:J9" showDropDown="0" showInputMessage="0" showErrorMessage="0" allowBlank="1" type="list" errorStyle="stop" operator="between">
      <formula1>"Débloquer la tranche,Suspendre,Reporter,Clôturer"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5" min="1" max="1"/>
    <col width="18" customWidth="1" style="45" min="2" max="2"/>
    <col width="16" customWidth="1" style="45" min="4" max="4"/>
    <col width="18" customWidth="1" style="45" min="5" max="5"/>
  </cols>
  <sheetData>
    <row r="1" ht="17.25" customHeight="1" s="46">
      <c r="A1" s="47" t="inlineStr">
        <is>
          <t>Tableau de bord synthétique du dossier</t>
        </is>
      </c>
    </row>
    <row r="4" ht="15" customHeight="1" s="46">
      <c r="A4" s="51" t="inlineStr">
        <is>
          <t>Besoin total du cycle</t>
        </is>
      </c>
      <c r="B4" s="53">
        <f>5_Synthese_Besoins!B13</f>
        <v/>
      </c>
      <c r="D4" s="48" t="inlineStr">
        <is>
          <t>Résumé décisionnel</t>
        </is>
      </c>
    </row>
    <row r="5" ht="81.75" customHeight="1" s="46">
      <c r="A5" s="51" t="inlineStr">
        <is>
          <t>Crédit recommandé</t>
        </is>
      </c>
      <c r="B5" s="53">
        <f>6_Plan_Financement!B8</f>
        <v/>
      </c>
      <c r="D5" s="84" t="inlineStr">
        <is>
          <t>Ce tableau sert au comité crédit pour valider rapidement la cohérence du dossier.</t>
        </is>
      </c>
    </row>
    <row r="6" ht="15" customHeight="1" s="46">
      <c r="A6" s="51" t="inlineStr">
        <is>
          <t>Apport propre</t>
        </is>
      </c>
      <c r="B6" s="53">
        <f>6_Plan_Financement!B7</f>
        <v/>
      </c>
    </row>
    <row r="7" ht="15" customHeight="1" s="46">
      <c r="A7" s="51" t="inlineStr">
        <is>
          <t>Recettes prévues</t>
        </is>
      </c>
      <c r="B7" s="53">
        <f>8_Previsions_Ventes!G9</f>
        <v/>
      </c>
      <c r="D7" s="57" t="inlineStr">
        <is>
          <t>Contrôle 1</t>
        </is>
      </c>
      <c r="E7" s="71">
        <f>IF(6_Plan_Financement!B10=0,"OK","Écart à couvrir")</f>
        <v/>
      </c>
    </row>
    <row r="8" ht="15" customHeight="1" s="46">
      <c r="A8" s="51" t="inlineStr">
        <is>
          <t>Résultat net prévisionnel</t>
        </is>
      </c>
      <c r="B8" s="53">
        <f>9_Compte_Exploitation!B12</f>
        <v/>
      </c>
      <c r="D8" s="57" t="inlineStr">
        <is>
          <t>Contrôle 2</t>
        </is>
      </c>
      <c r="E8" s="71">
        <f>IF(10_Capacite_Remboursement!B12&gt;=1_Accueil_Parametres!B22,"OK","Remboursement fragile")</f>
        <v/>
      </c>
    </row>
    <row r="9" ht="15" customHeight="1" s="46">
      <c r="A9" s="51" t="inlineStr">
        <is>
          <t>DSCR (capacité de remboursement)</t>
        </is>
      </c>
      <c r="B9" s="54">
        <f>10_Capacite_Remboursement!B12</f>
        <v/>
      </c>
    </row>
    <row r="10" ht="15" customHeight="1" s="46">
      <c r="A10" s="51" t="inlineStr">
        <is>
          <t>Niveau de risque</t>
        </is>
      </c>
      <c r="B10" s="81">
        <f>12_Analyse_Credit!B10</f>
        <v/>
      </c>
    </row>
    <row r="11" ht="15" customHeight="1" s="46">
      <c r="A11" s="51" t="inlineStr">
        <is>
          <t>Décision suggérée</t>
        </is>
      </c>
      <c r="B11" s="71">
        <f>12_Analyse_Credit!B11</f>
        <v/>
      </c>
    </row>
    <row r="12" ht="15" customHeight="1" s="46">
      <c r="A12" s="45" t="inlineStr">
        <is>
          <t>Couverture garanties</t>
        </is>
      </c>
      <c r="B12" s="81">
        <f>15_Garanties_Collateraux!B14</f>
        <v/>
      </c>
      <c r="D12" s="45" t="inlineStr">
        <is>
          <t>Contrôle 3</t>
        </is>
      </c>
      <c r="E12" s="45">
        <f>IF(15_Garanties_Collateraux!B14&gt;=1_Accueil_Parametres!B24,"OK","Couverture partielle")</f>
        <v/>
      </c>
    </row>
    <row r="13" ht="15" customHeight="1" s="46">
      <c r="A13" s="45" t="inlineStr">
        <is>
          <t>Crédit sur pic de trésorerie (option)</t>
        </is>
      </c>
      <c r="B13" s="53">
        <f>16_Tresorerie_Mensuelle!B21</f>
        <v/>
      </c>
    </row>
    <row r="14" ht="15" customHeight="1" s="46">
      <c r="A14" s="45" t="inlineStr">
        <is>
          <t>DSCR minimal en stress</t>
        </is>
      </c>
      <c r="B14" s="54">
        <f>17_Sensibilite_StressTest!B16</f>
        <v/>
      </c>
      <c r="D14" s="45" t="inlineStr">
        <is>
          <t>Contrôle 4</t>
        </is>
      </c>
      <c r="E14" s="45">
        <f>IF(17_Sensibilite_StressTest!B16&gt;=1_Accueil_Parametres!B23,"OK","Fragile en scénario de stress")</f>
        <v/>
      </c>
    </row>
    <row r="15" ht="15" customHeight="1" s="46">
      <c r="A15" s="45" t="inlineStr">
        <is>
          <t>Score global (onglet 12)</t>
        </is>
      </c>
      <c r="B15" s="80">
        <f>12_Analyse_Credit!D10</f>
        <v/>
      </c>
      <c r="D15" s="45" t="inlineStr">
        <is>
          <t>Contrôle 5</t>
        </is>
      </c>
      <c r="E15" s="45">
        <f>IF(12_Analyse_Credit!D10&gt;=1_Accueil_Parametres!B25,"OK","Score insuffisant")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5" min="1" max="1"/>
    <col width="30" customWidth="1" style="45" min="2" max="2"/>
    <col width="14" customWidth="1" style="45" min="3" max="3"/>
    <col width="12" customWidth="1" style="45" min="4" max="4"/>
    <col width="28" customWidth="1" style="45" min="5" max="5"/>
  </cols>
  <sheetData>
    <row r="1" ht="17.25" customHeight="1" s="46">
      <c r="A1" s="47" t="inlineStr">
        <is>
          <t>Annexes &amp; hypothèses de travail</t>
        </is>
      </c>
    </row>
    <row r="4" ht="15" customHeight="1" s="46">
      <c r="A4" s="49" t="inlineStr">
        <is>
          <t>Catégorie</t>
        </is>
      </c>
      <c r="B4" s="49" t="inlineStr">
        <is>
          <t>Hypothèse / Référence</t>
        </is>
      </c>
      <c r="C4" s="49" t="inlineStr">
        <is>
          <t>Valeur</t>
        </is>
      </c>
      <c r="D4" s="49" t="inlineStr">
        <is>
          <t>Unité</t>
        </is>
      </c>
      <c r="E4" s="49" t="inlineStr">
        <is>
          <t>Commentaire</t>
        </is>
      </c>
    </row>
    <row r="5" ht="15" customHeight="1" s="46">
      <c r="A5" s="57" t="inlineStr">
        <is>
          <t>Prix de vente</t>
        </is>
      </c>
      <c r="B5" s="57" t="n"/>
      <c r="C5" s="85" t="n"/>
      <c r="D5" s="57" t="inlineStr">
        <is>
          <t>USD/tonne</t>
        </is>
      </c>
      <c r="E5" s="57" t="inlineStr">
        <is>
          <t>À documenter par l'analyste — non porté par le référentiel</t>
        </is>
      </c>
    </row>
    <row r="6" ht="15" customHeight="1" s="46">
      <c r="A6" s="57" t="inlineStr">
        <is>
          <t>Taux de perte</t>
        </is>
      </c>
      <c r="B6" s="57" t="n"/>
      <c r="C6" s="86" t="n"/>
      <c r="D6" s="57" t="inlineStr">
        <is>
          <t>ratio (0,10 = 10 %)</t>
        </is>
      </c>
      <c r="E6" s="57" t="inlineStr">
        <is>
          <t>À documenter par l'analyste — non porté par le référentiel</t>
        </is>
      </c>
    </row>
    <row r="7" ht="15" customHeight="1" s="46">
      <c r="A7" s="57" t="inlineStr">
        <is>
          <t>Rendement</t>
        </is>
      </c>
      <c r="B7" s="57" t="n"/>
      <c r="C7" s="87" t="n"/>
      <c r="D7" s="57" t="inlineStr">
        <is>
          <t>t/ha</t>
        </is>
      </c>
      <c r="E7" s="57" t="inlineStr">
        <is>
          <t>À documenter par l'analyste — non porté par le référentiel</t>
        </is>
      </c>
    </row>
    <row r="8" ht="15" customHeight="1" s="46">
      <c r="A8" s="57" t="inlineStr">
        <is>
          <t>Taux d'intérêt</t>
        </is>
      </c>
      <c r="B8" s="57" t="inlineStr">
        <is>
          <t>Taux de base RIZ</t>
        </is>
      </c>
      <c r="C8" s="86" t="n">
        <v>0.07000000000000001</v>
      </c>
      <c r="D8" s="57" t="inlineStr">
        <is>
          <t>ratio annuel</t>
        </is>
      </c>
      <c r="E8" s="57" t="inlineStr">
        <is>
          <t>Repris de ValueChain.base_rate (référentiel actif)</t>
        </is>
      </c>
    </row>
    <row r="9" ht="15" customHeight="1" s="46">
      <c r="A9" s="57" t="inlineStr">
        <is>
          <t>Source</t>
        </is>
      </c>
      <c r="B9" s="57" t="inlineStr">
        <is>
          <t>Données terrain</t>
        </is>
      </c>
      <c r="C9" s="57" t="inlineStr">
        <is>
          <t>ValueChain « RIZ »</t>
        </is>
      </c>
      <c r="D9" s="57" t="n"/>
      <c r="E9" s="57" t="inlineStr">
        <is>
          <t>Coûts par module : poids du référentiel × coût/ha</t>
        </is>
      </c>
    </row>
    <row r="10" ht="15" customHeight="1" s="46">
      <c r="A10" s="45" t="inlineStr">
        <is>
          <t>Remboursement</t>
        </is>
      </c>
      <c r="B10" s="45" t="inlineStr">
        <is>
          <t>Différé de capital</t>
        </is>
      </c>
      <c r="C10" s="45">
        <f>1_Accueil_Parametres!B20</f>
        <v/>
      </c>
      <c r="D10" s="45" t="inlineStr">
        <is>
          <t>mois</t>
        </is>
      </c>
      <c r="E10" s="45" t="inlineStr">
        <is>
          <t>Intérêt simple total réparti sur les échéances de remboursement</t>
        </is>
      </c>
    </row>
    <row r="11" ht="15" customHeight="1" s="46">
      <c r="A11" s="45" t="inlineStr">
        <is>
          <t>Intérêts</t>
        </is>
      </c>
      <c r="B11" s="45" t="inlineStr">
        <is>
          <t>Méthode de calcul</t>
        </is>
      </c>
      <c r="C11" s="45" t="inlineStr">
        <is>
          <t>Dégressif</t>
        </is>
      </c>
      <c r="D11" s="45" t="inlineStr">
        <is>
          <t>—</t>
        </is>
      </c>
      <c r="E11" s="45" t="inlineStr">
        <is>
          <t>Intérêt mensuel sur capital restant dû ; intérêts du différé capitalisés à la première échéance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2026-03-12T01:18:45Z</dcterms:created>
  <dcterms:modified xmlns:dcterms="http://purl.org/dc/terms/" xmlns:xsi="http://www.w3.org/2001/XMLSchema-instance" xsi:type="dcterms:W3CDTF">2026-07-24T12:25:25Z</dcterms:modified>
  <cp:revision>0</cp:revision>
</cp:coreProperties>
</file>