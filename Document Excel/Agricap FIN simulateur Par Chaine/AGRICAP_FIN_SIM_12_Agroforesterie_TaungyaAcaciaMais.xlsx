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12.xml" ContentType="application/vnd.openxmlformats-officedocument.spreadsheetml.comments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workbook.xml" ContentType="application/vnd.openxmlformats-officedocument.spreadsheetml.sheet.main+xml"/>
  <Override PartName="/xl/comments4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3.xml" ContentType="application/vnd.openxmlformats-officedocument.spreadsheetml.comment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omments16.xml" ContentType="application/vnd.openxmlformats-officedocument.spreadsheetml.comments+xml"/>
  <Override PartName="/xl/styles.xml" ContentType="application/vnd.openxmlformats-officedocument.spreadsheetml.style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Accueil_Parametres" sheetId="1" state="visible" r:id="rId3"/>
    <sheet name="2_Identification_Projet" sheetId="2" state="visible" r:id="rId4"/>
    <sheet name="3_Parametres_Techniques" sheetId="3" state="visible" r:id="rId5"/>
    <sheet name="4_Besoins_Financiers" sheetId="4" state="visible" r:id="rId6"/>
    <sheet name="5_Synthese_Besoins" sheetId="5" state="visible" r:id="rId7"/>
    <sheet name="6_Plan_Financement" sheetId="6" state="visible" r:id="rId8"/>
    <sheet name="7_Plan_Decaissement" sheetId="7" state="visible" r:id="rId9"/>
    <sheet name="8_Previsions_Ventes" sheetId="8" state="visible" r:id="rId10"/>
    <sheet name="9_Compte_Exploitation" sheetId="9" state="visible" r:id="rId11"/>
    <sheet name="10_Capacite_Remboursement" sheetId="10" state="visible" r:id="rId12"/>
    <sheet name="11_Echeancier" sheetId="11" state="visible" r:id="rId13"/>
    <sheet name="12_Analyse_Credit" sheetId="12" state="visible" r:id="rId14"/>
    <sheet name="15_Garanties_Collateraux" sheetId="13" state="visible" r:id="rId15"/>
    <sheet name="16_Tresorerie_Mensuelle" sheetId="14" state="visible" r:id="rId16"/>
    <sheet name="17_Sensibilite_StressTest" sheetId="15" state="visible" r:id="rId17"/>
    <sheet name="18_Controles_Vraisemblance" sheetId="16" state="visible" r:id="rId18"/>
    <sheet name="19_Suivi_Post_Decaissement" sheetId="17" state="visible" r:id="rId19"/>
    <sheet name="13_Tableau_Bord" sheetId="18" state="visible" r:id="rId20"/>
    <sheet name="14_Annexes_Hypotheses" sheetId="19" state="visible" r:id="rId2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Coût de location des services de machinerie agricole, du labour à la récolte.</t>
        </r>
      </text>
    </comment>
    <comment ref="B15" authorId="0">
      <text>
        <r>
          <rPr>
            <sz val="10"/>
            <rFont val="Arial"/>
            <family val="2"/>
          </rPr>
          <t xml:space="preserve">Main d'œuvre de supervision et travaux agricoles (si pas de recours à la mécanisation).</t>
        </r>
      </text>
    </comment>
    <comment ref="B20" authorId="0">
      <text>
        <r>
          <rPr>
            <sz val="10"/>
            <rFont val="Arial"/>
            <family val="2"/>
          </rPr>
          <t xml:space="preserve">Achat d'équipement le cas échéant (investissement, non une charge du cycle).</t>
        </r>
      </text>
    </comment>
    <comment ref="G4" authorId="0">
      <text>
        <r>
          <rPr>
            <sz val="10"/>
            <rFont val="Arial"/>
            <family val="2"/>
          </rPr>
          <t xml:space="preserve">Nombre de répétitions de la dépense pendant le cycle.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7" authorId="0">
      <text>
        <r>
          <rPr>
            <sz val="10"/>
            <rFont val="Arial"/>
            <family val="2"/>
          </rPr>
          <t xml:space="preserve">Montant d'apport propre du client.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Arial"/>
            <family val="2"/>
          </rPr>
          <t xml:space="preserve">Ratio = Recette nette projetée / Total à rembourser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8" authorId="0">
      <text>
        <r>
          <rPr>
            <sz val="10"/>
            <rFont val="Arial"/>
            <family val="2"/>
          </rPr>
          <t xml:space="preserve">Dès le 2e cycle : alimenter automatiquement par l'historique de remboursement du wallet AGRICAP.</t>
        </r>
      </text>
    </comment>
    <comment ref="C8" authorId="0">
      <text>
        <r>
          <rPr>
            <sz val="10"/>
            <rFont val="Arial"/>
            <family val="2"/>
          </rPr>
          <t xml:space="preserve">Neutre (50) au 1er cycle. Dès le 2e cycle : alimenter automatiquement par l'historique de remboursement du wallet AGRICAP (retards, incidents, régularité). C'est le facteur le plus prédictif du risque.</t>
        </r>
      </text>
    </comment>
  </commentList>
</comments>
</file>

<file path=xl/comments1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0" authorId="0">
      <text>
        <r>
          <rPr>
            <sz val="10"/>
            <rFont val="Arial"/>
            <family val="2"/>
          </rPr>
          <t xml:space="preserve">50 % des ventes supposées sous contrat — ajuster selon la convention signée.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3" authorId="0">
      <text>
        <r>
          <rPr>
            <sz val="10"/>
            <rFont val="Arial"/>
            <family val="2"/>
          </rPr>
          <t xml:space="preserve">Hypothèse simplificatrice : le crédit reste constant ; en pratique une hausse des coûts accroît le besoin de financement.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5" authorId="0">
      <text>
        <r>
          <rPr>
            <sz val="10"/>
            <rFont val="Arial"/>
            <family val="2"/>
          </rPr>
          <t xml:space="preserve">Le client peut justifier un écart (facture, photo géolocalisée, contrat) sans modifier son chiffre : l'écart devient « Justifié ». Évite que les clients apprennent à saisir des valeurs « dans la plage ».</t>
        </r>
      </text>
    </comment>
  </commentList>
</comments>
</file>

<file path=xl/sharedStrings.xml><?xml version="1.0" encoding="utf-8"?>
<sst xmlns="http://schemas.openxmlformats.org/spreadsheetml/2006/main" count="567" uniqueCount="427">
  <si>
    <t xml:space="preserve">AGRICAP FIN - Simulateur de crédit basé sur le cycle de production</t>
  </si>
  <si>
    <t xml:space="preserve">Instructions</t>
  </si>
  <si>
    <t xml:space="preserve">Remplir les cellules jaunes. Les cellules vertes sont calculées automatiquement.</t>
  </si>
  <si>
    <t xml:space="preserve">Onglets 4 et 5 : annexe à remettre au demandeur (à joindre au plan d'affaires). Autres onglets : usage interne analyste.</t>
  </si>
  <si>
    <t xml:space="preserve">Paramètre</t>
  </si>
  <si>
    <t xml:space="preserve">Valeur</t>
  </si>
  <si>
    <t xml:space="preserve">Sorties clés</t>
  </si>
  <si>
    <t xml:space="preserve">Nom du projet</t>
  </si>
  <si>
    <t xml:space="preserve">Taungya acacia (5 ha) + maïs (10 ha) — année 1</t>
  </si>
  <si>
    <t xml:space="preserve">Besoin total du cycle</t>
  </si>
  <si>
    <t xml:space="preserve">Code dossier</t>
  </si>
  <si>
    <t xml:space="preserve">12-Agroforesterie-TaungyaAcaciaMais</t>
  </si>
  <si>
    <t xml:space="preserve">Crédit recommandé</t>
  </si>
  <si>
    <t xml:space="preserve">Nom de l'opérateur</t>
  </si>
  <si>
    <t xml:space="preserve">Coopérative Mampu Sud</t>
  </si>
  <si>
    <t xml:space="preserve">Apport propre</t>
  </si>
  <si>
    <t xml:space="preserve">Filière</t>
  </si>
  <si>
    <t xml:space="preserve">Agroforesterie &amp; bois</t>
  </si>
  <si>
    <t xml:space="preserve">Recettes prévues</t>
  </si>
  <si>
    <t xml:space="preserve">Zone</t>
  </si>
  <si>
    <t xml:space="preserve">Plateau des Batéké / Maluku</t>
  </si>
  <si>
    <t xml:space="preserve">Résultat net prévisionnel</t>
  </si>
  <si>
    <t xml:space="preserve">Campagne / saison</t>
  </si>
  <si>
    <t xml:space="preserve">2026 - Année 1</t>
  </si>
  <si>
    <t xml:space="preserve">DSCR (capacité de remboursement)</t>
  </si>
  <si>
    <t xml:space="preserve">Devise principale</t>
  </si>
  <si>
    <t xml:space="preserve">USD</t>
  </si>
  <si>
    <t xml:space="preserve">Date de démarrage prévue</t>
  </si>
  <si>
    <t xml:space="preserve">Durée du cycle (mois)</t>
  </si>
  <si>
    <t xml:space="preserve">Taux d'intérêt annuel</t>
  </si>
  <si>
    <t xml:space="preserve">Durée du crédit (mois)</t>
  </si>
  <si>
    <t xml:space="preserve">Mode de remboursement</t>
  </si>
  <si>
    <t xml:space="preserve">Mensuel</t>
  </si>
  <si>
    <t xml:space="preserve">Analyste en charge</t>
  </si>
  <si>
    <t xml:space="preserve">Analyste Crédit 01</t>
  </si>
  <si>
    <t xml:space="preserve">Différé de remboursement (mois)</t>
  </si>
  <si>
    <t xml:space="preserve">0 = mensualités dès le mois 1 ; différé = remboursement après récolte (intérêts du différé capitalisés à la 1ère échéance)</t>
  </si>
  <si>
    <t xml:space="preserve">Type de crédit</t>
  </si>
  <si>
    <t xml:space="preserve">Crédit de campagne</t>
  </si>
  <si>
    <t xml:space="preserve">Seuil DSCR (avis favorable)</t>
  </si>
  <si>
    <t xml:space="preserve">Seuils prudentiels par défaut — à recalibrer sur les défauts observés (revue semestrielle)</t>
  </si>
  <si>
    <t xml:space="preserve">Seuil DSCR stressé minimal</t>
  </si>
  <si>
    <t xml:space="preserve">Seuil de couverture des garanties</t>
  </si>
  <si>
    <t xml:space="preserve">Score global minimal (favorable)</t>
  </si>
  <si>
    <t xml:space="preserve">Identification du projet / client</t>
  </si>
  <si>
    <t xml:space="preserve">Rubrique</t>
  </si>
  <si>
    <t xml:space="preserve">Commentaires</t>
  </si>
  <si>
    <t xml:space="preserve">Type d'opérateur agricole</t>
  </si>
  <si>
    <t xml:space="preserve">Coopérative</t>
  </si>
  <si>
    <t xml:space="preserve">Profils chaîne de valeur</t>
  </si>
  <si>
    <t xml:space="preserve">Producteur végétal; Agroforestier</t>
  </si>
  <si>
    <t xml:space="preserve">Sélection multiple</t>
  </si>
  <si>
    <t xml:space="preserve">Production principale</t>
  </si>
  <si>
    <t xml:space="preserve">Maïs intercalaire (année 1) + acacia</t>
  </si>
  <si>
    <t xml:space="preserve">Superficie totale exploitée (ha)</t>
  </si>
  <si>
    <t xml:space="preserve">Zone d'activité</t>
  </si>
  <si>
    <t xml:space="preserve">Années d'expérience</t>
  </si>
  <si>
    <t xml:space="preserve">Besoin principal</t>
  </si>
  <si>
    <t xml:space="preserve">Garanties disponibles</t>
  </si>
  <si>
    <t xml:space="preserve">Contrat de vente maïs + caution solidaire</t>
  </si>
  <si>
    <t xml:space="preserve">Apport propre (USD)</t>
  </si>
  <si>
    <t xml:space="preserve">Paramètres techniques du cycle</t>
  </si>
  <si>
    <t xml:space="preserve">Phase</t>
  </si>
  <si>
    <t xml:space="preserve">Début (mois)</t>
  </si>
  <si>
    <t xml:space="preserve">Fin (mois)</t>
  </si>
  <si>
    <t xml:space="preserve">Durée (mois)</t>
  </si>
  <si>
    <t xml:space="preserve">Description</t>
  </si>
  <si>
    <t xml:space="preserve">Rendement attendu</t>
  </si>
  <si>
    <t xml:space="preserve">Unité</t>
  </si>
  <si>
    <t xml:space="preserve">Prix prévu</t>
  </si>
  <si>
    <t xml:space="preserve">Unité prix</t>
  </si>
  <si>
    <t xml:space="preserve">Observations</t>
  </si>
  <si>
    <t xml:space="preserve">Préparation</t>
  </si>
  <si>
    <t xml:space="preserve">Défrichage, labour, trouaison</t>
  </si>
  <si>
    <t xml:space="preserve">Implantation</t>
  </si>
  <si>
    <t xml:space="preserve">Plantation acacia + semis maïs A</t>
  </si>
  <si>
    <t xml:space="preserve">Croissance</t>
  </si>
  <si>
    <t xml:space="preserve">Entretiens, pare-feux, saison B</t>
  </si>
  <si>
    <t xml:space="preserve">Récolte</t>
  </si>
  <si>
    <t xml:space="preserve">Récolte maïs saison A</t>
  </si>
  <si>
    <t xml:space="preserve">Post-récolte</t>
  </si>
  <si>
    <t xml:space="preserve">Égrenage, stockage</t>
  </si>
  <si>
    <t xml:space="preserve">Commercialisation</t>
  </si>
  <si>
    <t xml:space="preserve">Ventes maïs A puis B</t>
  </si>
  <si>
    <t xml:space="preserve">tonnes</t>
  </si>
  <si>
    <t xml:space="preserve">USD/tonne</t>
  </si>
  <si>
    <t xml:space="preserve">Perte prévue gérée dans l'onglet ventes</t>
  </si>
  <si>
    <t xml:space="preserve">Besoins financiers détaillés du cycle</t>
  </si>
  <si>
    <t xml:space="preserve">ANNEXE DEMANDEUR — à joindre au plan d'affaires. Saisir uniquement les cellules jaunes ; la colonne « Montant total » se calcule automatiquement. Utiliser les listes déroulantes (Rubrique, Période, Financement).</t>
  </si>
  <si>
    <t xml:space="preserve">N°</t>
  </si>
  <si>
    <t xml:space="preserve">Description détaillée</t>
  </si>
  <si>
    <t xml:space="preserve">Quantité</t>
  </si>
  <si>
    <t xml:space="preserve">Coût unitaire</t>
  </si>
  <si>
    <t xml:space="preserve">Fréquence</t>
  </si>
  <si>
    <t xml:space="preserve">Montant total</t>
  </si>
  <si>
    <t xml:space="preserve">Période du cycle</t>
  </si>
  <si>
    <t xml:space="preserve">Financement souhaité</t>
  </si>
  <si>
    <t xml:space="preserve">Validation analyste</t>
  </si>
  <si>
    <t xml:space="preserve">Semences &amp; Intrants</t>
  </si>
  <si>
    <t xml:space="preserve">Semences maïs améliorées</t>
  </si>
  <si>
    <t xml:space="preserve">kg</t>
  </si>
  <si>
    <t xml:space="preserve">Crédit</t>
  </si>
  <si>
    <t xml:space="preserve">Engrais</t>
  </si>
  <si>
    <t xml:space="preserve">sacs</t>
  </si>
  <si>
    <t xml:space="preserve">Opérations mécanisées</t>
  </si>
  <si>
    <t xml:space="preserve">Labour</t>
  </si>
  <si>
    <t xml:space="preserve">ha</t>
  </si>
  <si>
    <t xml:space="preserve">Main d'œuvre</t>
  </si>
  <si>
    <t xml:space="preserve">Trouaison et plantation acacia</t>
  </si>
  <si>
    <t xml:space="preserve">plants</t>
  </si>
  <si>
    <t xml:space="preserve">Semis maïs</t>
  </si>
  <si>
    <t xml:space="preserve">Sarclages (2 passages)</t>
  </si>
  <si>
    <t xml:space="preserve">Pare-feux et regarnissage</t>
  </si>
  <si>
    <t xml:space="preserve">forfait</t>
  </si>
  <si>
    <t xml:space="preserve">Entretien</t>
  </si>
  <si>
    <t xml:space="preserve">Supervision technique</t>
  </si>
  <si>
    <t xml:space="preserve">mois</t>
  </si>
  <si>
    <t xml:space="preserve">Tout le cycle</t>
  </si>
  <si>
    <t xml:space="preserve">Apport</t>
  </si>
  <si>
    <t xml:space="preserve">Plants &amp; investissements agroforestiers</t>
  </si>
  <si>
    <t xml:space="preserve">Plants d'acacia (5 ha à 1 100/ha)</t>
  </si>
  <si>
    <t xml:space="preserve">Crédit / Apport</t>
  </si>
  <si>
    <t xml:space="preserve">Petit outillage</t>
  </si>
  <si>
    <t xml:space="preserve">Récolte &amp; post-récolte</t>
  </si>
  <si>
    <t xml:space="preserve">Récolte maïs</t>
  </si>
  <si>
    <t xml:space="preserve">Égrenage</t>
  </si>
  <si>
    <t xml:space="preserve">Post récolte</t>
  </si>
  <si>
    <t xml:space="preserve">Sacs</t>
  </si>
  <si>
    <t xml:space="preserve">pièces</t>
  </si>
  <si>
    <t xml:space="preserve">Logistique</t>
  </si>
  <si>
    <t xml:space="preserve">Transport</t>
  </si>
  <si>
    <t xml:space="preserve">Frais de marché</t>
  </si>
  <si>
    <t xml:space="preserve">Réserve d'exploitation</t>
  </si>
  <si>
    <t xml:space="preserve">Imprévus</t>
  </si>
  <si>
    <t xml:space="preserve">TOTAL BESOINS DU CYCLE</t>
  </si>
  <si>
    <t xml:space="preserve">Synthèse des besoins financiers</t>
  </si>
  <si>
    <t xml:space="preserve">Feuille calculée automatiquement — ne rien saisir.</t>
  </si>
  <si>
    <t xml:space="preserve">Total rubrique</t>
  </si>
  <si>
    <t xml:space="preserve">Phase dominante</t>
  </si>
  <si>
    <t xml:space="preserve">Commentaire</t>
  </si>
  <si>
    <t xml:space="preserve">TOTAL GENERAL</t>
  </si>
  <si>
    <t xml:space="preserve">Plan de financement</t>
  </si>
  <si>
    <t xml:space="preserve">Montant</t>
  </si>
  <si>
    <t xml:space="preserve">% du total</t>
  </si>
  <si>
    <t xml:space="preserve">Total besoins du cycle</t>
  </si>
  <si>
    <t xml:space="preserve">Repris de l'onglet 2 (Identification)</t>
  </si>
  <si>
    <t xml:space="preserve">Montant à financer</t>
  </si>
  <si>
    <t xml:space="preserve">Autres concours</t>
  </si>
  <si>
    <t xml:space="preserve">Subvention / partenaire</t>
  </si>
  <si>
    <t xml:space="preserve">Écart à financer</t>
  </si>
  <si>
    <t xml:space="preserve">Doit tendre vers 0</t>
  </si>
  <si>
    <t xml:space="preserve">Mémo : besoins fléchés « Crédit » (col. J, onglet 4)</t>
  </si>
  <si>
    <t xml:space="preserve">Indicatif — à comparer au crédit recommandé</t>
  </si>
  <si>
    <t xml:space="preserve">Mémo : crédit dimensionné sur le pic de trésorerie (onglet 16)</t>
  </si>
  <si>
    <t xml:space="preserve">Option de dimensionnement — voir onglet 16</t>
  </si>
  <si>
    <t xml:space="preserve">Plan de décaissement du crédit</t>
  </si>
  <si>
    <t xml:space="preserve">Tranche</t>
  </si>
  <si>
    <t xml:space="preserve">Objet du décaissement</t>
  </si>
  <si>
    <t xml:space="preserve">Rubrique concernée</t>
  </si>
  <si>
    <t xml:space="preserve">Période</t>
  </si>
  <si>
    <t xml:space="preserve">Mode de décaissement</t>
  </si>
  <si>
    <t xml:space="preserve">Condition préalable</t>
  </si>
  <si>
    <t xml:space="preserve">Statut prévu</t>
  </si>
  <si>
    <t xml:space="preserve">Intrants + préparation</t>
  </si>
  <si>
    <t xml:space="preserve">Semence &amp; Intrants / opérations mécanisées</t>
  </si>
  <si>
    <t xml:space="preserve">Mois 1</t>
  </si>
  <si>
    <t xml:space="preserve">Wallet / fournisseur</t>
  </si>
  <si>
    <t xml:space="preserve">Validation dossier</t>
  </si>
  <si>
    <t xml:space="preserve">Prévu</t>
  </si>
  <si>
    <t xml:space="preserve">Implantation et entretien</t>
  </si>
  <si>
    <t xml:space="preserve">Main d'œuvre / intrants / supervision / réserve</t>
  </si>
  <si>
    <t xml:space="preserve">Mois 2 à 4</t>
  </si>
  <si>
    <t xml:space="preserve">Wallet / cash</t>
  </si>
  <si>
    <t xml:space="preserve">Décaissement tranche 1 OK</t>
  </si>
  <si>
    <t xml:space="preserve">Récolte et commercialisation</t>
  </si>
  <si>
    <t xml:space="preserve">Post-récolte / logistique / vente</t>
  </si>
  <si>
    <t xml:space="preserve">Mois 5 à 6</t>
  </si>
  <si>
    <t xml:space="preserve">Suivi technique positif</t>
  </si>
  <si>
    <t xml:space="preserve">TOTAL DÉCAISSEMENTS</t>
  </si>
  <si>
    <t xml:space="preserve">Contrôle : total besoins − décaissements</t>
  </si>
  <si>
    <t xml:space="preserve">Prévisions de production et de ventes</t>
  </si>
  <si>
    <t xml:space="preserve">Rendement maïs intercalaire (t/ha)</t>
  </si>
  <si>
    <t xml:space="preserve">Superficie maïs (ha)</t>
  </si>
  <si>
    <t xml:space="preserve">Produit</t>
  </si>
  <si>
    <t xml:space="preserve">Quantité attendue</t>
  </si>
  <si>
    <t xml:space="preserve">Taux de perte</t>
  </si>
  <si>
    <t xml:space="preserve">Quantité vendable</t>
  </si>
  <si>
    <t xml:space="preserve">Prix unitaire</t>
  </si>
  <si>
    <t xml:space="preserve">Recette brute</t>
  </si>
  <si>
    <t xml:space="preserve">Mois de vente</t>
  </si>
  <si>
    <t xml:space="preserve">Modalité de vente</t>
  </si>
  <si>
    <t xml:space="preserve">Maïs saison A</t>
  </si>
  <si>
    <t xml:space="preserve">Vente groupée</t>
  </si>
  <si>
    <t xml:space="preserve">Hypothèse centrale</t>
  </si>
  <si>
    <t xml:space="preserve">Maïs saison B (5 ha)</t>
  </si>
  <si>
    <t xml:space="preserve">Optionnel</t>
  </si>
  <si>
    <t xml:space="preserve">Produit 3 (optionnel)</t>
  </si>
  <si>
    <t xml:space="preserve">Produit 4 (optionnel)</t>
  </si>
  <si>
    <t xml:space="preserve">TOTAL RECETTES</t>
  </si>
  <si>
    <t xml:space="preserve">Compte d'exploitation prévisionnel</t>
  </si>
  <si>
    <t xml:space="preserve">Recettes brutes</t>
  </si>
  <si>
    <t xml:space="preserve">Charges d'exploitation du cycle (hors invest. &amp; réserve)</t>
  </si>
  <si>
    <t xml:space="preserve">Équipement et réserve exclus (voir mémo)</t>
  </si>
  <si>
    <t xml:space="preserve">Excédent brut d'exploitation (EBE)</t>
  </si>
  <si>
    <t xml:space="preserve">Charges financières (intérêts)</t>
  </si>
  <si>
    <t xml:space="preserve">Résultat après charges financières</t>
  </si>
  <si>
    <t xml:space="preserve">Charges diverses supplémentaires</t>
  </si>
  <si>
    <t xml:space="preserve">Marge nette</t>
  </si>
  <si>
    <t xml:space="preserve">Mémo — Investissements (équipement)</t>
  </si>
  <si>
    <t xml:space="preserve">Non imputé aux charges du cycle (amortissable)</t>
  </si>
  <si>
    <t xml:space="preserve">Mémo — Réserve d'exploitation</t>
  </si>
  <si>
    <t xml:space="preserve">Trésorerie de précaution, non une charge</t>
  </si>
  <si>
    <t xml:space="preserve">Capacité de remboursement</t>
  </si>
  <si>
    <t xml:space="preserve">Indicateur</t>
  </si>
  <si>
    <t xml:space="preserve">Intérêts totaux (dégressifs, capital restant dû)</t>
  </si>
  <si>
    <t xml:space="preserve">Service de la dette (capital + intérêts)</t>
  </si>
  <si>
    <t xml:space="preserve">EBE prévisionnel (avant charges financières)</t>
  </si>
  <si>
    <t xml:space="preserve">DSCR (EBE / service de la dette)</t>
  </si>
  <si>
    <t xml:space="preserve">Marge de trésorerie après service de la dette</t>
  </si>
  <si>
    <t xml:space="preserve">Avis automatique</t>
  </si>
  <si>
    <t xml:space="preserve">Paramètre onglet 1</t>
  </si>
  <si>
    <t xml:space="preserve">Frais de dossier (taux)</t>
  </si>
  <si>
    <t xml:space="preserve">Commissions &amp; assurance (taux)</t>
  </si>
  <si>
    <t xml:space="preserve">Frais totaux</t>
  </si>
  <si>
    <t xml:space="preserve">Coût total du crédit (intérêts + frais)</t>
  </si>
  <si>
    <t xml:space="preserve">TEG approximatif (annualisé)</t>
  </si>
  <si>
    <t xml:space="preserve">Transparence : à afficher au client dans l'application</t>
  </si>
  <si>
    <t xml:space="preserve">Échéancier proposé de remboursement</t>
  </si>
  <si>
    <t xml:space="preserve">Intérêt mensuel calculé sur le capital restant dû (dégressif). Pendant le différé, les intérêts courent et sont capitalisés à la première échéance de remboursement.</t>
  </si>
  <si>
    <t xml:space="preserve">Échéance</t>
  </si>
  <si>
    <t xml:space="preserve">Date</t>
  </si>
  <si>
    <t xml:space="preserve">Principal</t>
  </si>
  <si>
    <t xml:space="preserve">Intérêt</t>
  </si>
  <si>
    <t xml:space="preserve">Total</t>
  </si>
  <si>
    <t xml:space="preserve">Solde restant dû</t>
  </si>
  <si>
    <t xml:space="preserve">Source de remboursement</t>
  </si>
  <si>
    <t xml:space="preserve">Statut</t>
  </si>
  <si>
    <t xml:space="preserve">TOTAL</t>
  </si>
  <si>
    <t xml:space="preserve">Contrôle : le solde restant dû doit finir à 0.</t>
  </si>
  <si>
    <t xml:space="preserve">Analyse crédit &amp; scoring</t>
  </si>
  <si>
    <t xml:space="preserve">Critère</t>
  </si>
  <si>
    <t xml:space="preserve">Pondération</t>
  </si>
  <si>
    <t xml:space="preserve">Score /100</t>
  </si>
  <si>
    <t xml:space="preserve">Points</t>
  </si>
  <si>
    <t xml:space="preserve">Fiabilité technique (contrôles de vraisemblance, écarts justifiés inclus)</t>
  </si>
  <si>
    <t xml:space="preserve">Capacité financière (DSCR central)</t>
  </si>
  <si>
    <t xml:space="preserve">Résilience au stress (DSCR minimal des scénarios)</t>
  </si>
  <si>
    <t xml:space="preserve">Historique comportemental (wallet AGRICAP)</t>
  </si>
  <si>
    <t xml:space="preserve">Garanties &amp; domiciliation (couverture)</t>
  </si>
  <si>
    <t xml:space="preserve">SCORE GLOBAL /100</t>
  </si>
  <si>
    <t xml:space="preserve">Suggestion automatique</t>
  </si>
  <si>
    <t xml:space="preserve">Couverture par garanties (info)</t>
  </si>
  <si>
    <t xml:space="preserve">Seuil : voir onglet 1</t>
  </si>
  <si>
    <t xml:space="preserve">Garanties &amp; collatéraux (usage interne analyste)</t>
  </si>
  <si>
    <t xml:space="preserve">Valeur retenue = valeur estimée × (1 − décote). La couverture se mesure contre le service de la dette (capital + intérêts).</t>
  </si>
  <si>
    <t xml:space="preserve">Type de garantie</t>
  </si>
  <si>
    <t xml:space="preserve">Description / référence</t>
  </si>
  <si>
    <t xml:space="preserve">Constituant / propriétaire</t>
  </si>
  <si>
    <t xml:space="preserve">Valeur estimée (USD)</t>
  </si>
  <si>
    <t xml:space="preserve">Décote</t>
  </si>
  <si>
    <t xml:space="preserve">Valeur retenue (USD)</t>
  </si>
  <si>
    <t xml:space="preserve">Formalisation juridique</t>
  </si>
  <si>
    <t xml:space="preserve">Documents fournis</t>
  </si>
  <si>
    <t xml:space="preserve">Observation analyste</t>
  </si>
  <si>
    <t xml:space="preserve">Contrat de vente (cession de créance)</t>
  </si>
  <si>
    <t xml:space="preserve">Contrat acheteur — Maïs intercalaire (année 1) + acacia</t>
  </si>
  <si>
    <t xml:space="preserve">Coopérative Meka</t>
  </si>
  <si>
    <t xml:space="preserve">À formaliser (notification acheteur)</t>
  </si>
  <si>
    <t xml:space="preserve">Contrat signé</t>
  </si>
  <si>
    <t xml:space="preserve">Warrantage / stock nanti</t>
  </si>
  <si>
    <t xml:space="preserve">Stock / production en tierce détention — Maïs intercalaire (année 1) + acacia</t>
  </si>
  <si>
    <t xml:space="preserve">Récépissé d'entreposage</t>
  </si>
  <si>
    <t xml:space="preserve">Certificat de dépôt</t>
  </si>
  <si>
    <t xml:space="preserve">Caution solidaire</t>
  </si>
  <si>
    <t xml:space="preserve">Membres du comité de gestion</t>
  </si>
  <si>
    <t xml:space="preserve">Personnes physiques</t>
  </si>
  <si>
    <t xml:space="preserve">Acte de caution à signer</t>
  </si>
  <si>
    <t xml:space="preserve">Pièces d'identité</t>
  </si>
  <si>
    <t xml:space="preserve">Nantissement d'équipement</t>
  </si>
  <si>
    <t xml:space="preserve">Pulvérisateurs + petit matériel</t>
  </si>
  <si>
    <t xml:space="preserve">Acte de nantissement RCCM</t>
  </si>
  <si>
    <t xml:space="preserve">Factures d'achat</t>
  </si>
  <si>
    <t xml:space="preserve">Épargne nantie / dépôt de garantie</t>
  </si>
  <si>
    <t xml:space="preserve">Compte bloqué AGRICAP</t>
  </si>
  <si>
    <t xml:space="preserve">Convention de blocage</t>
  </si>
  <si>
    <t xml:space="preserve">Relevé de compte</t>
  </si>
  <si>
    <t xml:space="preserve">Domiciliation des recettes (convention tripartite)</t>
  </si>
  <si>
    <t xml:space="preserve">Part des ventes sous contrat encaissée via le wallet AGRICAP — prélèvement à la source</t>
  </si>
  <si>
    <t xml:space="preserve">Acheteur / AGRICAP</t>
  </si>
  <si>
    <t xml:space="preserve">Convention tripartite + blocage wallet</t>
  </si>
  <si>
    <t xml:space="preserve">Contrat d'achat signé</t>
  </si>
  <si>
    <t xml:space="preserve">Ratio de couverture (valeur retenue / service de la dette)</t>
  </si>
  <si>
    <t xml:space="preserve">Avis garanties</t>
  </si>
  <si>
    <t xml:space="preserve">Types usuels : hypothèque, nantissement de stock/équipement, warrantage, cession de créance (contrat de vente), caution solidaire, épargne nantie.</t>
  </si>
  <si>
    <t xml:space="preserve">Trésorerie mensuelle du cycle (hors crédit)</t>
  </si>
  <si>
    <t xml:space="preserve">Objectif : dimensionner le crédit sur le déficit cumulé maximal (pic de trésorerie), pas sur le total des besoins.</t>
  </si>
  <si>
    <t xml:space="preserve">Montant (USD)</t>
  </si>
  <si>
    <t xml:space="preserve">Mois début</t>
  </si>
  <si>
    <t xml:space="preserve">Mois fin</t>
  </si>
  <si>
    <t xml:space="preserve">Montant mensuel</t>
  </si>
  <si>
    <t xml:space="preserve">Flux (USD) / Mois</t>
  </si>
  <si>
    <t xml:space="preserve">Décaissements (besoins du cycle)</t>
  </si>
  <si>
    <t xml:space="preserve">Encaissements (ventes)</t>
  </si>
  <si>
    <t xml:space="preserve">Apport propre injecté</t>
  </si>
  <si>
    <t xml:space="preserve">Solde mensuel (hors crédit)</t>
  </si>
  <si>
    <t xml:space="preserve">Solde cumulé (hors crédit)</t>
  </si>
  <si>
    <t xml:space="preserve">Déficit cumulé maximal (pic de trésorerie)</t>
  </si>
  <si>
    <t xml:space="preserve">Crédit recommandé actuel (onglet 6)</t>
  </si>
  <si>
    <t xml:space="preserve">Économie potentielle si crédit dimensionné sur le pic</t>
  </si>
  <si>
    <t xml:space="preserve">Lecture</t>
  </si>
  <si>
    <t xml:space="preserve">Analyse de sensibilité &amp; stress test</t>
  </si>
  <si>
    <t xml:space="preserve">Aucun dossier ne se juge sur la seule hypothèse centrale : le DSCR doit résister aux chocs ci-dessous.</t>
  </si>
  <si>
    <t xml:space="preserve">Chocs paramétrables</t>
  </si>
  <si>
    <t xml:space="preserve">Ampleur</t>
  </si>
  <si>
    <t xml:space="preserve">Baisse de rendement</t>
  </si>
  <si>
    <t xml:space="preserve">Baisse de prix</t>
  </si>
  <si>
    <t xml:space="preserve">Hausse des coûts</t>
  </si>
  <si>
    <t xml:space="preserve">Scénario</t>
  </si>
  <si>
    <t xml:space="preserve">Recettes</t>
  </si>
  <si>
    <t xml:space="preserve">Charges expl.</t>
  </si>
  <si>
    <t xml:space="preserve">EBE</t>
  </si>
  <si>
    <t xml:space="preserve">Service de la dette</t>
  </si>
  <si>
    <t xml:space="preserve">DSCR</t>
  </si>
  <si>
    <t xml:space="preserve">Avis</t>
  </si>
  <si>
    <t xml:space="preserve">Central (hypothèses du dossier)</t>
  </si>
  <si>
    <t xml:space="preserve">Rendement −</t>
  </si>
  <si>
    <t xml:space="preserve">Prix −</t>
  </si>
  <si>
    <t xml:space="preserve">Coûts +</t>
  </si>
  <si>
    <t xml:space="preserve">Combiné (rendement − / prix − / coûts +)</t>
  </si>
  <si>
    <t xml:space="preserve">DSCR minimal (tous scénarios)</t>
  </si>
  <si>
    <t xml:space="preserve">Plafond prudentiel de service de la dette (EBE combiné ÷ seuil DSCR)</t>
  </si>
  <si>
    <t xml:space="preserve">Contrôle prudentiel</t>
  </si>
  <si>
    <t xml:space="preserve">Niveau de production de point mort (même unité que le rendement saisi)</t>
  </si>
  <si>
    <t xml:space="preserve">Rendement minimal couvrant charges + service de la dette</t>
  </si>
  <si>
    <t xml:space="preserve">Prix de point mort (USD/unité de vente)</t>
  </si>
  <si>
    <t xml:space="preserve">Prix minimal à quantité vendable constante</t>
  </si>
  <si>
    <t xml:space="preserve">Marge de sécurité sur le rendement</t>
  </si>
  <si>
    <t xml:space="preserve">Contrôles de vraisemblance technico-économique</t>
  </si>
  <si>
    <t xml:space="preserve">Références indicatives (jaune) à actualiser depuis le fichier AGRICAP_REF_Referentiels selon la filière et la zone. Un écart = point à instruire, pas un rejet automatique.</t>
  </si>
  <si>
    <t xml:space="preserve">Valeur du dossier</t>
  </si>
  <si>
    <t xml:space="preserve">Réf. min</t>
  </si>
  <si>
    <t xml:space="preserve">Réf. max</t>
  </si>
  <si>
    <t xml:space="preserve">Verdict</t>
  </si>
  <si>
    <t xml:space="preserve">Justification fournie ?</t>
  </si>
  <si>
    <t xml:space="preserve">Verdict final</t>
  </si>
  <si>
    <t xml:space="preserve">Coût d'exploitation par ha (USD/ha)</t>
  </si>
  <si>
    <t xml:space="preserve">Volet maïs, hors plants d'acacia</t>
  </si>
  <si>
    <t xml:space="preserve">Non</t>
  </si>
  <si>
    <t xml:space="preserve">Semence améliorée</t>
  </si>
  <si>
    <t xml:space="preserve">Plants d'acacia (nombre total)</t>
  </si>
  <si>
    <t xml:space="preserve">5 ha × 1 100–1 600 plants</t>
  </si>
  <si>
    <t xml:space="preserve">Prix de vente retenu (USD/t)</t>
  </si>
  <si>
    <t xml:space="preserve">Taux de perte post-récolte</t>
  </si>
  <si>
    <t xml:space="preserve">Le crédit de campagne ne doit PAS porter l'investissement acacia (apport/subvention)</t>
  </si>
  <si>
    <t xml:space="preserve">À vérifier</t>
  </si>
  <si>
    <t xml:space="preserve">Synthèse</t>
  </si>
  <si>
    <t xml:space="preserve">Suivi post-décaissement — jalons conditionnant les tranches</t>
  </si>
  <si>
    <t xml:space="preserve">Le déblocage de chaque tranche (onglet 7) est conditionné à la conformité du jalon précédent. Constats à documenter via l'application (photos géolocalisées).</t>
  </si>
  <si>
    <t xml:space="preserve">Jalon</t>
  </si>
  <si>
    <t xml:space="preserve">Mois prévu</t>
  </si>
  <si>
    <t xml:space="preserve">Tranche conditionnée</t>
  </si>
  <si>
    <t xml:space="preserve">Vérification attendue</t>
  </si>
  <si>
    <t xml:space="preserve">Constat terrain</t>
  </si>
  <si>
    <t xml:space="preserve">Date visite</t>
  </si>
  <si>
    <t xml:space="preserve">Réf. photo / géoloc (app)</t>
  </si>
  <si>
    <t xml:space="preserve">Décision</t>
  </si>
  <si>
    <t xml:space="preserve">Validation du dossier &amp; signatures</t>
  </si>
  <si>
    <t xml:space="preserve">0</t>
  </si>
  <si>
    <t xml:space="preserve">Tranche 1</t>
  </si>
  <si>
    <t xml:space="preserve">Dossier complet, garanties formalisées, convention tripartite acheteur signée</t>
  </si>
  <si>
    <t xml:space="preserve">Levée / implantation</t>
  </si>
  <si>
    <t xml:space="preserve">2</t>
  </si>
  <si>
    <t xml:space="preserve">Tranche 2</t>
  </si>
  <si>
    <t xml:space="preserve">Superficie emblavée conforme, densité de semis, stade végétatif normal</t>
  </si>
  <si>
    <t xml:space="preserve">Entretien / croissance</t>
  </si>
  <si>
    <t xml:space="preserve">3–4</t>
  </si>
  <si>
    <t xml:space="preserve">(suivi)</t>
  </si>
  <si>
    <t xml:space="preserve">Sarclages et traitements réalisés, état sanitaire, absence de détournement d'objet</t>
  </si>
  <si>
    <t xml:space="preserve">Pré-récolte</t>
  </si>
  <si>
    <t xml:space="preserve">5</t>
  </si>
  <si>
    <t xml:space="preserve">Tranche 3</t>
  </si>
  <si>
    <t xml:space="preserve">Estimation de rendement au champ, organisation récolte et logistique</t>
  </si>
  <si>
    <t xml:space="preserve">Post-récolte / commercialisation</t>
  </si>
  <si>
    <t xml:space="preserve">6</t>
  </si>
  <si>
    <t xml:space="preserve">Remboursement</t>
  </si>
  <si>
    <t xml:space="preserve">Stock entreposé (warrant), ventes domiciliées sur le wallet, prélèvement à la source</t>
  </si>
  <si>
    <t xml:space="preserve">Règle : aucun décaissement si le jalon précédent est « Alerte » non levée ou « Bloquant ».</t>
  </si>
  <si>
    <t xml:space="preserve">Tableau de bord synthétique du dossier</t>
  </si>
  <si>
    <t xml:space="preserve">Résumé décisionnel</t>
  </si>
  <si>
    <t xml:space="preserve">Ce tableau sert au comité crédit pour valider rapidement la cohérence du dossier.</t>
  </si>
  <si>
    <t xml:space="preserve">Contrôle 1</t>
  </si>
  <si>
    <t xml:space="preserve">Contrôle 2</t>
  </si>
  <si>
    <t xml:space="preserve">Niveau de risque</t>
  </si>
  <si>
    <t xml:space="preserve">Décision suggérée</t>
  </si>
  <si>
    <t xml:space="preserve">Couverture garanties</t>
  </si>
  <si>
    <t xml:space="preserve">Contrôle 3</t>
  </si>
  <si>
    <t xml:space="preserve">Crédit sur pic de trésorerie (option)</t>
  </si>
  <si>
    <t xml:space="preserve">DSCR minimal en stress</t>
  </si>
  <si>
    <t xml:space="preserve">Contrôle 4</t>
  </si>
  <si>
    <t xml:space="preserve">Score global (onglet 12)</t>
  </si>
  <si>
    <t xml:space="preserve">Contrôle 5</t>
  </si>
  <si>
    <t xml:space="preserve">Annexes &amp; hypothèses de travail</t>
  </si>
  <si>
    <t xml:space="preserve">Catégorie</t>
  </si>
  <si>
    <t xml:space="preserve">Hypothèse / Référence</t>
  </si>
  <si>
    <t xml:space="preserve">Prix de vente</t>
  </si>
  <si>
    <t xml:space="preserve">Maïs grain</t>
  </si>
  <si>
    <t xml:space="preserve">Hypothèse de marché locale</t>
  </si>
  <si>
    <t xml:space="preserve">Pertes post-récolte</t>
  </si>
  <si>
    <t xml:space="preserve">ratio (0,10 = 10 %)</t>
  </si>
  <si>
    <t xml:space="preserve">Selon historique projet</t>
  </si>
  <si>
    <t xml:space="preserve">Rendement</t>
  </si>
  <si>
    <t xml:space="preserve">t/ha</t>
  </si>
  <si>
    <t xml:space="preserve">× superficie (onglet 2)</t>
  </si>
  <si>
    <t xml:space="preserve">Taux d'intérêt</t>
  </si>
  <si>
    <t xml:space="preserve">Crédit campagne</t>
  </si>
  <si>
    <t xml:space="preserve">ratio annuel</t>
  </si>
  <si>
    <t xml:space="preserve">Paramétrable</t>
  </si>
  <si>
    <t xml:space="preserve">Source</t>
  </si>
  <si>
    <t xml:space="preserve">Données terrain</t>
  </si>
  <si>
    <t xml:space="preserve">À documenter par l'analyste</t>
  </si>
  <si>
    <t xml:space="preserve">Différé de capital</t>
  </si>
  <si>
    <t xml:space="preserve">Intérêt simple total réparti sur les échéances de remboursement</t>
  </si>
  <si>
    <t xml:space="preserve">Intérêts</t>
  </si>
  <si>
    <t xml:space="preserve">Méthode de calcul</t>
  </si>
  <si>
    <t xml:space="preserve">Dégressif</t>
  </si>
  <si>
    <t xml:space="preserve">—</t>
  </si>
  <si>
    <t xml:space="preserve">Intérêt mensuel sur capital restant dû ; intérêts du différé capitalisés à la première échéance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</si>
</sst>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_);[RED]\(#,##0.00\)"/>
    <numFmt numFmtId="166" formatCode="0.00"/>
    <numFmt numFmtId="167" formatCode="dd/mm/yyyy"/>
    <numFmt numFmtId="168" formatCode="0.0%"/>
    <numFmt numFmtId="169" formatCode="General"/>
    <numFmt numFmtId="170" formatCode="#,##0"/>
    <numFmt numFmtId="171" formatCode="0%"/>
    <numFmt numFmtId="172" formatCode="0.0"/>
    <numFmt numFmtId="173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7E6E6"/>
        <bgColor rgb="FFDCE6F1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7E6E6"/>
      </patternFill>
    </fill>
    <fill>
      <patternFill patternType="solid">
        <fgColor rgb="FFDCE6F1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9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0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F0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soinsFinanciers" displayName="BesoinsFinanciers" ref="A4:L35" headerRowCount="1" totalsRowCount="0" totalsRowShown="0">
  <autoFilter ref="A4:L35"/>
  <tableColumns count="12">
    <tableColumn id="1" name="N°"/>
    <tableColumn id="2" name="Rubrique"/>
    <tableColumn id="3" name="Description détaillée"/>
    <tableColumn id="4" name="Unité"/>
    <tableColumn id="5" name="Quantité"/>
    <tableColumn id="6" name="Coût unitaire"/>
    <tableColumn id="7" name="Fréquence"/>
    <tableColumn id="8" name="Montant total"/>
    <tableColumn id="9" name="Période du cycle"/>
    <tableColumn id="10" name="Financement souhaité"/>
    <tableColumn id="11" name="Observations"/>
    <tableColumn id="12" name="Validation analys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vmlDrawing" Target="../drawings/vmlDrawing5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6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2"/>
    <col collapsed="false" customWidth="true" hidden="false" outlineLevel="0" max="4" min="4" style="1" width="28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</row>
    <row r="5" customFormat="false" ht="15" hidden="false" customHeight="true" outlineLevel="0" collapsed="false">
      <c r="A5" s="1" t="s">
        <v>3</v>
      </c>
    </row>
    <row r="6" customFormat="false" ht="15" hidden="false" customHeight="true" outlineLevel="0" collapsed="false">
      <c r="A6" s="4" t="s">
        <v>4</v>
      </c>
      <c r="B6" s="4" t="s">
        <v>5</v>
      </c>
      <c r="C6" s="5"/>
      <c r="D6" s="4" t="s">
        <v>6</v>
      </c>
      <c r="E6" s="4" t="s">
        <v>5</v>
      </c>
    </row>
    <row r="7" customFormat="false" ht="15" hidden="false" customHeight="true" outlineLevel="0" collapsed="false">
      <c r="A7" s="6" t="s">
        <v>7</v>
      </c>
      <c r="B7" s="7" t="s">
        <v>8</v>
      </c>
      <c r="D7" s="6" t="s">
        <v>9</v>
      </c>
      <c r="E7" s="8" t="n">
        <f aca="false">5_Synthese_Besoins!B13</f>
        <v>7151</v>
      </c>
    </row>
    <row r="8" customFormat="false" ht="15" hidden="false" customHeight="true" outlineLevel="0" collapsed="false">
      <c r="A8" s="6" t="s">
        <v>10</v>
      </c>
      <c r="B8" s="7" t="s">
        <v>11</v>
      </c>
      <c r="D8" s="6" t="s">
        <v>12</v>
      </c>
      <c r="E8" s="8" t="n">
        <f aca="false">6_Plan_Financement!B8</f>
        <v>4751</v>
      </c>
    </row>
    <row r="9" customFormat="false" ht="15" hidden="false" customHeight="true" outlineLevel="0" collapsed="false">
      <c r="A9" s="6" t="s">
        <v>13</v>
      </c>
      <c r="B9" s="7" t="s">
        <v>14</v>
      </c>
      <c r="D9" s="6" t="s">
        <v>15</v>
      </c>
      <c r="E9" s="8" t="n">
        <f aca="false">6_Plan_Financement!B7</f>
        <v>2400</v>
      </c>
    </row>
    <row r="10" customFormat="false" ht="15" hidden="false" customHeight="true" outlineLevel="0" collapsed="false">
      <c r="A10" s="6" t="s">
        <v>16</v>
      </c>
      <c r="B10" s="7" t="s">
        <v>17</v>
      </c>
      <c r="D10" s="6" t="s">
        <v>18</v>
      </c>
      <c r="E10" s="8" t="n">
        <f aca="false">9_Compte_Exploitation!B6</f>
        <v>11340</v>
      </c>
    </row>
    <row r="11" customFormat="false" ht="15" hidden="false" customHeight="true" outlineLevel="0" collapsed="false">
      <c r="A11" s="6" t="s">
        <v>19</v>
      </c>
      <c r="B11" s="7" t="s">
        <v>20</v>
      </c>
      <c r="D11" s="6" t="s">
        <v>21</v>
      </c>
      <c r="E11" s="8" t="n">
        <f aca="false">9_Compte_Exploitation!B12</f>
        <v>5322.615</v>
      </c>
    </row>
    <row r="12" customFormat="false" ht="15" hidden="false" customHeight="true" outlineLevel="0" collapsed="false">
      <c r="A12" s="6" t="s">
        <v>22</v>
      </c>
      <c r="B12" s="7" t="s">
        <v>23</v>
      </c>
      <c r="D12" s="6" t="s">
        <v>24</v>
      </c>
      <c r="E12" s="9" t="n">
        <f aca="false">10_Capacite_Remboursement!B12</f>
        <v>1.10600411506226</v>
      </c>
    </row>
    <row r="13" customFormat="false" ht="15" hidden="false" customHeight="true" outlineLevel="0" collapsed="false">
      <c r="A13" s="6" t="s">
        <v>25</v>
      </c>
      <c r="B13" s="7" t="s">
        <v>26</v>
      </c>
    </row>
    <row r="14" customFormat="false" ht="15" hidden="false" customHeight="true" outlineLevel="0" collapsed="false">
      <c r="A14" s="6" t="s">
        <v>27</v>
      </c>
      <c r="B14" s="10" t="n">
        <v>46054</v>
      </c>
    </row>
    <row r="15" customFormat="false" ht="15" hidden="false" customHeight="true" outlineLevel="0" collapsed="false">
      <c r="A15" s="6" t="s">
        <v>28</v>
      </c>
      <c r="B15" s="7" t="n">
        <v>12</v>
      </c>
    </row>
    <row r="16" customFormat="false" ht="15" hidden="false" customHeight="true" outlineLevel="0" collapsed="false">
      <c r="A16" s="6" t="s">
        <v>29</v>
      </c>
      <c r="B16" s="11" t="n">
        <v>0.18</v>
      </c>
    </row>
    <row r="17" customFormat="false" ht="15" hidden="false" customHeight="true" outlineLevel="0" collapsed="false">
      <c r="A17" s="6" t="s">
        <v>30</v>
      </c>
      <c r="B17" s="7" t="n">
        <v>12</v>
      </c>
    </row>
    <row r="18" customFormat="false" ht="15" hidden="false" customHeight="true" outlineLevel="0" collapsed="false">
      <c r="A18" s="6" t="s">
        <v>31</v>
      </c>
      <c r="B18" s="7" t="s">
        <v>32</v>
      </c>
    </row>
    <row r="19" customFormat="false" ht="15" hidden="false" customHeight="true" outlineLevel="0" collapsed="false">
      <c r="A19" s="6" t="s">
        <v>33</v>
      </c>
      <c r="B19" s="7" t="s">
        <v>34</v>
      </c>
    </row>
    <row r="20" customFormat="false" ht="15" hidden="false" customHeight="true" outlineLevel="0" collapsed="false">
      <c r="A20" s="6" t="s">
        <v>35</v>
      </c>
      <c r="B20" s="7" t="n">
        <v>5</v>
      </c>
      <c r="C20" s="1" t="s">
        <v>36</v>
      </c>
    </row>
    <row r="21" customFormat="false" ht="15" hidden="false" customHeight="true" outlineLevel="0" collapsed="false">
      <c r="A21" s="6" t="s">
        <v>37</v>
      </c>
      <c r="B21" s="7" t="s">
        <v>38</v>
      </c>
    </row>
    <row r="22" customFormat="false" ht="15" hidden="false" customHeight="true" outlineLevel="0" collapsed="false">
      <c r="A22" s="6" t="s">
        <v>39</v>
      </c>
      <c r="B22" s="7" t="n">
        <v>1.2</v>
      </c>
      <c r="C22" s="1" t="s">
        <v>40</v>
      </c>
    </row>
    <row r="23" customFormat="false" ht="15" hidden="false" customHeight="true" outlineLevel="0" collapsed="false">
      <c r="A23" s="6" t="s">
        <v>41</v>
      </c>
      <c r="B23" s="7" t="n">
        <v>1</v>
      </c>
    </row>
    <row r="24" customFormat="false" ht="15" hidden="false" customHeight="true" outlineLevel="0" collapsed="false">
      <c r="A24" s="6" t="s">
        <v>42</v>
      </c>
      <c r="B24" s="7" t="n">
        <v>1</v>
      </c>
    </row>
    <row r="25" customFormat="false" ht="15" hidden="false" customHeight="true" outlineLevel="0" collapsed="false">
      <c r="A25" s="6" t="s">
        <v>43</v>
      </c>
      <c r="B25" s="7" t="n">
        <v>70</v>
      </c>
    </row>
  </sheetData>
  <mergeCells count="1">
    <mergeCell ref="A1:J1"/>
  </mergeCells>
  <dataValidations count="3">
    <dataValidation allowBlank="true" errorStyle="stop" operator="between" showDropDown="false" showErrorMessage="false" showInputMessage="false" sqref="B20" type="whole">
      <formula1>0</formula1>
      <formula2>24</formula2>
    </dataValidation>
    <dataValidation allowBlank="true" errorStyle="stop" operator="between" showDropDown="false" showErrorMessage="false" showInputMessage="false" sqref="B21" type="list">
      <formula1>"Crédit de campagne,Crédit d'investissement (≤ 24 mois)"</formula1>
      <formula2>0</formula2>
    </dataValidation>
    <dataValidation allowBlank="true" errorStyle="stop" operator="between" showDropDown="false" showErrorMessage="false" showInputMessage="false" sqref="B17" type="whole">
      <formula1>1</formula1>
      <formula2>24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5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44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5</v>
      </c>
      <c r="C4" s="4" t="s">
        <v>46</v>
      </c>
    </row>
    <row r="5" customFormat="false" ht="15" hidden="false" customHeight="true" outlineLevel="0" collapsed="false">
      <c r="A5" s="6" t="s">
        <v>47</v>
      </c>
      <c r="B5" s="7" t="s">
        <v>48</v>
      </c>
      <c r="C5" s="12"/>
    </row>
    <row r="6" customFormat="false" ht="15" hidden="false" customHeight="true" outlineLevel="0" collapsed="false">
      <c r="A6" s="6" t="s">
        <v>49</v>
      </c>
      <c r="B6" s="7" t="s">
        <v>50</v>
      </c>
      <c r="C6" s="12" t="s">
        <v>51</v>
      </c>
    </row>
    <row r="7" customFormat="false" ht="15" hidden="false" customHeight="true" outlineLevel="0" collapsed="false">
      <c r="A7" s="6" t="s">
        <v>52</v>
      </c>
      <c r="B7" s="7" t="s">
        <v>53</v>
      </c>
      <c r="C7" s="12"/>
    </row>
    <row r="8" customFormat="false" ht="15" hidden="false" customHeight="true" outlineLevel="0" collapsed="false">
      <c r="A8" s="6" t="s">
        <v>54</v>
      </c>
      <c r="B8" s="7" t="n">
        <v>10</v>
      </c>
      <c r="C8" s="12"/>
    </row>
    <row r="9" customFormat="false" ht="15" hidden="false" customHeight="true" outlineLevel="0" collapsed="false">
      <c r="A9" s="6" t="s">
        <v>55</v>
      </c>
      <c r="B9" s="7" t="s">
        <v>20</v>
      </c>
      <c r="C9" s="12"/>
    </row>
    <row r="10" customFormat="false" ht="15" hidden="false" customHeight="true" outlineLevel="0" collapsed="false">
      <c r="A10" s="6" t="s">
        <v>56</v>
      </c>
      <c r="B10" s="7" t="n">
        <v>5</v>
      </c>
      <c r="C10" s="12"/>
    </row>
    <row r="11" customFormat="false" ht="15" hidden="false" customHeight="true" outlineLevel="0" collapsed="false">
      <c r="A11" s="6" t="s">
        <v>57</v>
      </c>
      <c r="B11" s="7" t="s">
        <v>38</v>
      </c>
      <c r="C11" s="12"/>
    </row>
    <row r="12" customFormat="false" ht="15" hidden="false" customHeight="true" outlineLevel="0" collapsed="false">
      <c r="A12" s="6" t="s">
        <v>58</v>
      </c>
      <c r="B12" s="7" t="s">
        <v>59</v>
      </c>
      <c r="C12" s="12"/>
    </row>
    <row r="13" customFormat="false" ht="15" hidden="false" customHeight="true" outlineLevel="0" collapsed="false">
      <c r="A13" s="6" t="s">
        <v>60</v>
      </c>
      <c r="B13" s="13" t="n">
        <v>2400</v>
      </c>
      <c r="C13" s="12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4" min="2" style="1" width="12"/>
    <col collapsed="false" customWidth="true" hidden="false" outlineLevel="0" max="5" min="5" style="1" width="28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24"/>
  </cols>
  <sheetData>
    <row r="1" customFormat="false" ht="17.25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</row>
    <row r="4" customFormat="false" ht="27.75" hidden="false" customHeight="true" outlineLevel="0" collapsed="false">
      <c r="A4" s="4" t="s">
        <v>62</v>
      </c>
      <c r="B4" s="4" t="s">
        <v>63</v>
      </c>
      <c r="C4" s="4" t="s">
        <v>64</v>
      </c>
      <c r="D4" s="4" t="s">
        <v>65</v>
      </c>
      <c r="E4" s="4" t="s">
        <v>66</v>
      </c>
      <c r="F4" s="4" t="s">
        <v>67</v>
      </c>
      <c r="G4" s="4" t="s">
        <v>68</v>
      </c>
      <c r="H4" s="4" t="s">
        <v>69</v>
      </c>
      <c r="I4" s="4" t="s">
        <v>70</v>
      </c>
      <c r="J4" s="4" t="s">
        <v>71</v>
      </c>
    </row>
    <row r="5" customFormat="false" ht="27.75" hidden="false" customHeight="true" outlineLevel="0" collapsed="false">
      <c r="A5" s="14" t="s">
        <v>72</v>
      </c>
      <c r="B5" s="15" t="n">
        <v>1</v>
      </c>
      <c r="C5" s="15" t="n">
        <v>1</v>
      </c>
      <c r="D5" s="16" t="n">
        <f aca="false">C5-B5+1</f>
        <v>1</v>
      </c>
      <c r="E5" s="17" t="s">
        <v>73</v>
      </c>
      <c r="F5" s="15"/>
      <c r="G5" s="17"/>
      <c r="H5" s="15"/>
      <c r="I5" s="17"/>
      <c r="J5" s="17"/>
    </row>
    <row r="6" customFormat="false" ht="15" hidden="false" customHeight="true" outlineLevel="0" collapsed="false">
      <c r="A6" s="14" t="s">
        <v>74</v>
      </c>
      <c r="B6" s="15" t="n">
        <v>1</v>
      </c>
      <c r="C6" s="15" t="n">
        <v>2</v>
      </c>
      <c r="D6" s="16" t="n">
        <f aca="false">C6-B6+1</f>
        <v>2</v>
      </c>
      <c r="E6" s="17" t="s">
        <v>75</v>
      </c>
      <c r="F6" s="15"/>
      <c r="G6" s="17"/>
      <c r="H6" s="15"/>
      <c r="I6" s="17"/>
      <c r="J6" s="17"/>
    </row>
    <row r="7" customFormat="false" ht="15" hidden="false" customHeight="true" outlineLevel="0" collapsed="false">
      <c r="A7" s="14" t="s">
        <v>76</v>
      </c>
      <c r="B7" s="15" t="n">
        <v>2</v>
      </c>
      <c r="C7" s="15" t="n">
        <v>10</v>
      </c>
      <c r="D7" s="16" t="n">
        <f aca="false">C7-B7+1</f>
        <v>9</v>
      </c>
      <c r="E7" s="17" t="s">
        <v>77</v>
      </c>
      <c r="F7" s="15"/>
      <c r="G7" s="17"/>
      <c r="H7" s="15"/>
      <c r="I7" s="17"/>
      <c r="J7" s="17"/>
    </row>
    <row r="8" customFormat="false" ht="15" hidden="false" customHeight="true" outlineLevel="0" collapsed="false">
      <c r="A8" s="14" t="s">
        <v>78</v>
      </c>
      <c r="B8" s="15" t="n">
        <v>6</v>
      </c>
      <c r="C8" s="15" t="n">
        <v>6</v>
      </c>
      <c r="D8" s="16" t="n">
        <f aca="false">C8-B8+1</f>
        <v>1</v>
      </c>
      <c r="E8" s="17" t="s">
        <v>79</v>
      </c>
      <c r="F8" s="15"/>
      <c r="G8" s="17"/>
      <c r="H8" s="15"/>
      <c r="I8" s="17"/>
      <c r="J8" s="17"/>
    </row>
    <row r="9" customFormat="false" ht="15" hidden="false" customHeight="true" outlineLevel="0" collapsed="false">
      <c r="A9" s="14" t="s">
        <v>80</v>
      </c>
      <c r="B9" s="15" t="n">
        <v>6</v>
      </c>
      <c r="C9" s="15" t="n">
        <v>12</v>
      </c>
      <c r="D9" s="16" t="n">
        <f aca="false">C9-B9+1</f>
        <v>7</v>
      </c>
      <c r="E9" s="17" t="s">
        <v>81</v>
      </c>
      <c r="F9" s="15"/>
      <c r="G9" s="17"/>
      <c r="H9" s="15"/>
      <c r="I9" s="17"/>
      <c r="J9" s="17"/>
    </row>
    <row r="10" customFormat="false" ht="27.75" hidden="false" customHeight="true" outlineLevel="0" collapsed="false">
      <c r="A10" s="14" t="s">
        <v>82</v>
      </c>
      <c r="B10" s="15" t="n">
        <v>6</v>
      </c>
      <c r="C10" s="15" t="n">
        <v>12</v>
      </c>
      <c r="D10" s="16" t="n">
        <f aca="false">C10-B10+1</f>
        <v>7</v>
      </c>
      <c r="E10" s="17" t="s">
        <v>83</v>
      </c>
      <c r="F10" s="15" t="n">
        <f aca="false">8_Previsions_Ventes!B5</f>
        <v>20</v>
      </c>
      <c r="G10" s="17" t="s">
        <v>84</v>
      </c>
      <c r="H10" s="15" t="n">
        <v>450</v>
      </c>
      <c r="I10" s="17" t="s">
        <v>85</v>
      </c>
      <c r="J10" s="17" t="s">
        <v>86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38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2" min="10" style="1" width="18"/>
  </cols>
  <sheetData>
    <row r="1" customFormat="false" ht="17.25" hidden="false" customHeight="true" outlineLevel="0" collapsed="false">
      <c r="A1" s="2" t="s">
        <v>87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1" t="s">
        <v>88</v>
      </c>
    </row>
    <row r="4" customFormat="false" ht="27.75" hidden="false" customHeight="true" outlineLevel="0" collapsed="false">
      <c r="A4" s="4" t="s">
        <v>89</v>
      </c>
      <c r="B4" s="4" t="s">
        <v>45</v>
      </c>
      <c r="C4" s="4" t="s">
        <v>90</v>
      </c>
      <c r="D4" s="4" t="s">
        <v>68</v>
      </c>
      <c r="E4" s="4" t="s">
        <v>91</v>
      </c>
      <c r="F4" s="4" t="s">
        <v>92</v>
      </c>
      <c r="G4" s="4" t="s">
        <v>93</v>
      </c>
      <c r="H4" s="4" t="s">
        <v>94</v>
      </c>
      <c r="I4" s="4" t="s">
        <v>95</v>
      </c>
      <c r="J4" s="4" t="s">
        <v>96</v>
      </c>
      <c r="K4" s="4" t="s">
        <v>71</v>
      </c>
      <c r="L4" s="4" t="s">
        <v>97</v>
      </c>
    </row>
    <row r="5" customFormat="false" ht="15" hidden="false" customHeight="true" outlineLevel="0" collapsed="false">
      <c r="A5" s="18" t="n">
        <v>1</v>
      </c>
      <c r="B5" s="19" t="s">
        <v>98</v>
      </c>
      <c r="C5" s="18" t="s">
        <v>99</v>
      </c>
      <c r="D5" s="18" t="s">
        <v>100</v>
      </c>
      <c r="E5" s="20" t="n">
        <v>250</v>
      </c>
      <c r="F5" s="20" t="n">
        <v>2.2</v>
      </c>
      <c r="G5" s="20" t="n">
        <v>1</v>
      </c>
      <c r="H5" s="21" t="n">
        <f aca="false">E5*F5*G5</f>
        <v>550</v>
      </c>
      <c r="I5" s="19" t="s">
        <v>72</v>
      </c>
      <c r="J5" s="20" t="s">
        <v>101</v>
      </c>
      <c r="K5" s="20"/>
      <c r="L5" s="20"/>
    </row>
    <row r="6" customFormat="false" ht="15" hidden="false" customHeight="true" outlineLevel="0" collapsed="false">
      <c r="A6" s="18" t="n">
        <v>2</v>
      </c>
      <c r="B6" s="19" t="s">
        <v>98</v>
      </c>
      <c r="C6" s="18" t="s">
        <v>102</v>
      </c>
      <c r="D6" s="18" t="s">
        <v>103</v>
      </c>
      <c r="E6" s="20" t="n">
        <v>20</v>
      </c>
      <c r="F6" s="20" t="n">
        <v>40</v>
      </c>
      <c r="G6" s="20" t="n">
        <v>1</v>
      </c>
      <c r="H6" s="21" t="n">
        <f aca="false">E6*F6*G6</f>
        <v>800</v>
      </c>
      <c r="I6" s="19" t="s">
        <v>72</v>
      </c>
      <c r="J6" s="20" t="s">
        <v>101</v>
      </c>
      <c r="K6" s="20"/>
      <c r="L6" s="20"/>
    </row>
    <row r="7" customFormat="false" ht="15" hidden="false" customHeight="true" outlineLevel="0" collapsed="false">
      <c r="A7" s="18" t="n">
        <v>3</v>
      </c>
      <c r="B7" s="19" t="s">
        <v>98</v>
      </c>
      <c r="C7" s="18"/>
      <c r="D7" s="18"/>
      <c r="E7" s="20"/>
      <c r="F7" s="20"/>
      <c r="G7" s="20" t="n">
        <v>1</v>
      </c>
      <c r="H7" s="21" t="n">
        <f aca="false">E7*F7*G7</f>
        <v>0</v>
      </c>
      <c r="I7" s="19"/>
      <c r="J7" s="20"/>
      <c r="K7" s="20"/>
      <c r="L7" s="20"/>
    </row>
    <row r="8" customFormat="false" ht="15" hidden="false" customHeight="true" outlineLevel="0" collapsed="false">
      <c r="A8" s="18" t="n">
        <v>4</v>
      </c>
      <c r="B8" s="19" t="s">
        <v>98</v>
      </c>
      <c r="C8" s="18"/>
      <c r="D8" s="18"/>
      <c r="E8" s="20"/>
      <c r="F8" s="20"/>
      <c r="G8" s="20" t="n">
        <v>1</v>
      </c>
      <c r="H8" s="21" t="n">
        <f aca="false">E8*F8*G8</f>
        <v>0</v>
      </c>
      <c r="I8" s="19"/>
      <c r="J8" s="20"/>
      <c r="K8" s="20"/>
      <c r="L8" s="20"/>
    </row>
    <row r="9" customFormat="false" ht="15" hidden="false" customHeight="true" outlineLevel="0" collapsed="false">
      <c r="A9" s="18" t="n">
        <v>5</v>
      </c>
      <c r="B9" s="19" t="s">
        <v>98</v>
      </c>
      <c r="C9" s="18"/>
      <c r="D9" s="18"/>
      <c r="E9" s="20"/>
      <c r="F9" s="20"/>
      <c r="G9" s="20" t="n">
        <v>1</v>
      </c>
      <c r="H9" s="21" t="n">
        <f aca="false">E9*F9*G9</f>
        <v>0</v>
      </c>
      <c r="I9" s="19"/>
      <c r="J9" s="20"/>
      <c r="K9" s="20"/>
      <c r="L9" s="20"/>
    </row>
    <row r="10" customFormat="false" ht="54.75" hidden="false" customHeight="true" outlineLevel="0" collapsed="false">
      <c r="A10" s="18" t="n">
        <v>6</v>
      </c>
      <c r="B10" s="19" t="s">
        <v>104</v>
      </c>
      <c r="C10" s="18" t="s">
        <v>105</v>
      </c>
      <c r="D10" s="18" t="s">
        <v>106</v>
      </c>
      <c r="E10" s="20" t="n">
        <v>10</v>
      </c>
      <c r="F10" s="20" t="n">
        <v>60</v>
      </c>
      <c r="G10" s="20" t="n">
        <v>1</v>
      </c>
      <c r="H10" s="21" t="n">
        <f aca="false">E10*F10*G10</f>
        <v>600</v>
      </c>
      <c r="I10" s="19" t="s">
        <v>72</v>
      </c>
      <c r="J10" s="20" t="s">
        <v>101</v>
      </c>
      <c r="K10" s="20"/>
      <c r="L10" s="20"/>
    </row>
    <row r="11" customFormat="false" ht="54.75" hidden="false" customHeight="true" outlineLevel="0" collapsed="false">
      <c r="A11" s="18" t="n">
        <v>7</v>
      </c>
      <c r="B11" s="19" t="s">
        <v>104</v>
      </c>
      <c r="C11" s="18"/>
      <c r="D11" s="18"/>
      <c r="E11" s="20"/>
      <c r="F11" s="20"/>
      <c r="G11" s="20" t="n">
        <v>1</v>
      </c>
      <c r="H11" s="21" t="n">
        <f aca="false">E11*F11*G11</f>
        <v>0</v>
      </c>
      <c r="I11" s="19"/>
      <c r="J11" s="20"/>
      <c r="K11" s="20"/>
      <c r="L11" s="20"/>
    </row>
    <row r="12" customFormat="false" ht="54.75" hidden="false" customHeight="true" outlineLevel="0" collapsed="false">
      <c r="A12" s="18" t="n">
        <v>8</v>
      </c>
      <c r="B12" s="19" t="s">
        <v>104</v>
      </c>
      <c r="C12" s="18"/>
      <c r="D12" s="18"/>
      <c r="E12" s="20"/>
      <c r="F12" s="20"/>
      <c r="G12" s="20" t="n">
        <v>1</v>
      </c>
      <c r="H12" s="21" t="n">
        <f aca="false">E12*F12*G12</f>
        <v>0</v>
      </c>
      <c r="I12" s="19"/>
      <c r="J12" s="20"/>
      <c r="K12" s="20"/>
      <c r="L12" s="20"/>
    </row>
    <row r="13" customFormat="false" ht="54.75" hidden="false" customHeight="true" outlineLevel="0" collapsed="false">
      <c r="A13" s="18" t="n">
        <v>9</v>
      </c>
      <c r="B13" s="19" t="s">
        <v>104</v>
      </c>
      <c r="C13" s="18"/>
      <c r="D13" s="18"/>
      <c r="E13" s="20"/>
      <c r="F13" s="20"/>
      <c r="G13" s="20" t="n">
        <v>1</v>
      </c>
      <c r="H13" s="21" t="n">
        <f aca="false">E13*F13*G13</f>
        <v>0</v>
      </c>
      <c r="I13" s="19"/>
      <c r="J13" s="20"/>
      <c r="K13" s="20"/>
      <c r="L13" s="20"/>
    </row>
    <row r="14" customFormat="false" ht="54.75" hidden="false" customHeight="true" outlineLevel="0" collapsed="false">
      <c r="A14" s="18" t="n">
        <v>10</v>
      </c>
      <c r="B14" s="19" t="s">
        <v>104</v>
      </c>
      <c r="C14" s="18"/>
      <c r="D14" s="18"/>
      <c r="E14" s="20"/>
      <c r="F14" s="20"/>
      <c r="G14" s="20" t="n">
        <v>1</v>
      </c>
      <c r="H14" s="21" t="n">
        <f aca="false">E14*F14*G14</f>
        <v>0</v>
      </c>
      <c r="I14" s="19"/>
      <c r="J14" s="20"/>
      <c r="K14" s="20"/>
      <c r="L14" s="20"/>
    </row>
    <row r="15" customFormat="false" ht="54.75" hidden="false" customHeight="true" outlineLevel="0" collapsed="false">
      <c r="A15" s="18" t="n">
        <v>11</v>
      </c>
      <c r="B15" s="19" t="s">
        <v>107</v>
      </c>
      <c r="C15" s="18" t="s">
        <v>108</v>
      </c>
      <c r="D15" s="18" t="s">
        <v>109</v>
      </c>
      <c r="E15" s="20" t="n">
        <v>5500</v>
      </c>
      <c r="F15" s="20" t="n">
        <v>0.08</v>
      </c>
      <c r="G15" s="20" t="n">
        <v>1</v>
      </c>
      <c r="H15" s="21" t="n">
        <f aca="false">E15*F15*G15</f>
        <v>440</v>
      </c>
      <c r="I15" s="19" t="s">
        <v>74</v>
      </c>
      <c r="J15" s="20" t="s">
        <v>101</v>
      </c>
      <c r="K15" s="20"/>
      <c r="L15" s="20"/>
    </row>
    <row r="16" customFormat="false" ht="54.75" hidden="false" customHeight="true" outlineLevel="0" collapsed="false">
      <c r="A16" s="18" t="n">
        <v>12</v>
      </c>
      <c r="B16" s="19" t="s">
        <v>107</v>
      </c>
      <c r="C16" s="18" t="s">
        <v>110</v>
      </c>
      <c r="D16" s="18" t="s">
        <v>106</v>
      </c>
      <c r="E16" s="20" t="n">
        <v>10</v>
      </c>
      <c r="F16" s="20" t="n">
        <v>25</v>
      </c>
      <c r="G16" s="20" t="n">
        <v>1</v>
      </c>
      <c r="H16" s="21" t="n">
        <f aca="false">E16*F16*G16</f>
        <v>250</v>
      </c>
      <c r="I16" s="19" t="s">
        <v>74</v>
      </c>
      <c r="J16" s="20" t="s">
        <v>101</v>
      </c>
      <c r="K16" s="20"/>
      <c r="L16" s="20"/>
    </row>
    <row r="17" customFormat="false" ht="54.75" hidden="false" customHeight="true" outlineLevel="0" collapsed="false">
      <c r="A17" s="18" t="n">
        <v>13</v>
      </c>
      <c r="B17" s="19" t="s">
        <v>107</v>
      </c>
      <c r="C17" s="18" t="s">
        <v>111</v>
      </c>
      <c r="D17" s="18" t="s">
        <v>106</v>
      </c>
      <c r="E17" s="20" t="n">
        <v>20</v>
      </c>
      <c r="F17" s="20" t="n">
        <v>25</v>
      </c>
      <c r="G17" s="20" t="n">
        <v>1</v>
      </c>
      <c r="H17" s="21" t="n">
        <f aca="false">E17*F17*G17</f>
        <v>500</v>
      </c>
      <c r="I17" s="19" t="s">
        <v>76</v>
      </c>
      <c r="J17" s="20" t="s">
        <v>101</v>
      </c>
      <c r="K17" s="20"/>
      <c r="L17" s="20"/>
    </row>
    <row r="18" customFormat="false" ht="54.75" hidden="false" customHeight="true" outlineLevel="0" collapsed="false">
      <c r="A18" s="18" t="n">
        <v>14</v>
      </c>
      <c r="B18" s="19" t="s">
        <v>107</v>
      </c>
      <c r="C18" s="18" t="s">
        <v>112</v>
      </c>
      <c r="D18" s="18" t="s">
        <v>113</v>
      </c>
      <c r="E18" s="20" t="n">
        <v>1</v>
      </c>
      <c r="F18" s="20" t="n">
        <v>300</v>
      </c>
      <c r="G18" s="20" t="n">
        <v>1</v>
      </c>
      <c r="H18" s="21" t="n">
        <f aca="false">E18*F18*G18</f>
        <v>300</v>
      </c>
      <c r="I18" s="19" t="s">
        <v>114</v>
      </c>
      <c r="J18" s="20" t="s">
        <v>101</v>
      </c>
      <c r="K18" s="20"/>
      <c r="L18" s="20"/>
    </row>
    <row r="19" customFormat="false" ht="54.75" hidden="false" customHeight="true" outlineLevel="0" collapsed="false">
      <c r="A19" s="18" t="n">
        <v>15</v>
      </c>
      <c r="B19" s="19" t="s">
        <v>107</v>
      </c>
      <c r="C19" s="18" t="s">
        <v>115</v>
      </c>
      <c r="D19" s="18" t="s">
        <v>116</v>
      </c>
      <c r="E19" s="20" t="n">
        <v>12</v>
      </c>
      <c r="F19" s="20" t="n">
        <v>40</v>
      </c>
      <c r="G19" s="20" t="n">
        <v>1</v>
      </c>
      <c r="H19" s="21" t="n">
        <f aca="false">E19*F19*G19</f>
        <v>480</v>
      </c>
      <c r="I19" s="19" t="s">
        <v>117</v>
      </c>
      <c r="J19" s="20" t="s">
        <v>118</v>
      </c>
      <c r="K19" s="20"/>
      <c r="L19" s="20"/>
    </row>
    <row r="20" customFormat="false" ht="27.75" hidden="false" customHeight="true" outlineLevel="0" collapsed="false">
      <c r="A20" s="18" t="n">
        <v>16</v>
      </c>
      <c r="B20" s="19" t="s">
        <v>119</v>
      </c>
      <c r="C20" s="18" t="s">
        <v>120</v>
      </c>
      <c r="D20" s="18" t="s">
        <v>109</v>
      </c>
      <c r="E20" s="20" t="n">
        <v>5500</v>
      </c>
      <c r="F20" s="20" t="n">
        <v>0.25</v>
      </c>
      <c r="G20" s="20" t="n">
        <v>1</v>
      </c>
      <c r="H20" s="21" t="n">
        <f aca="false">E20*F20*G20</f>
        <v>1375</v>
      </c>
      <c r="I20" s="19" t="s">
        <v>72</v>
      </c>
      <c r="J20" s="20" t="s">
        <v>121</v>
      </c>
      <c r="K20" s="20"/>
      <c r="L20" s="20"/>
    </row>
    <row r="21" customFormat="false" ht="27.75" hidden="false" customHeight="true" outlineLevel="0" collapsed="false">
      <c r="A21" s="18" t="n">
        <v>17</v>
      </c>
      <c r="B21" s="19" t="s">
        <v>119</v>
      </c>
      <c r="C21" s="18" t="s">
        <v>122</v>
      </c>
      <c r="D21" s="18" t="s">
        <v>113</v>
      </c>
      <c r="E21" s="20" t="n">
        <v>1</v>
      </c>
      <c r="F21" s="20" t="n">
        <v>150</v>
      </c>
      <c r="G21" s="20" t="n">
        <v>1</v>
      </c>
      <c r="H21" s="21" t="n">
        <f aca="false">E21*F21*G21</f>
        <v>150</v>
      </c>
      <c r="I21" s="19" t="s">
        <v>72</v>
      </c>
      <c r="J21" s="20" t="s">
        <v>118</v>
      </c>
      <c r="K21" s="20"/>
      <c r="L21" s="20"/>
    </row>
    <row r="22" customFormat="false" ht="15" hidden="false" customHeight="true" outlineLevel="0" collapsed="false">
      <c r="A22" s="18" t="n">
        <v>18</v>
      </c>
      <c r="B22" s="19" t="s">
        <v>123</v>
      </c>
      <c r="C22" s="18" t="s">
        <v>124</v>
      </c>
      <c r="D22" s="18" t="s">
        <v>84</v>
      </c>
      <c r="E22" s="20" t="n">
        <v>28</v>
      </c>
      <c r="F22" s="20" t="n">
        <v>12</v>
      </c>
      <c r="G22" s="20" t="n">
        <v>1</v>
      </c>
      <c r="H22" s="21" t="n">
        <f aca="false">E22*F22*G22</f>
        <v>336</v>
      </c>
      <c r="I22" s="19" t="s">
        <v>78</v>
      </c>
      <c r="J22" s="20" t="s">
        <v>101</v>
      </c>
      <c r="K22" s="20"/>
      <c r="L22" s="20"/>
    </row>
    <row r="23" customFormat="false" ht="15" hidden="false" customHeight="true" outlineLevel="0" collapsed="false">
      <c r="A23" s="18" t="n">
        <v>19</v>
      </c>
      <c r="B23" s="19" t="s">
        <v>123</v>
      </c>
      <c r="C23" s="18" t="s">
        <v>125</v>
      </c>
      <c r="D23" s="18" t="s">
        <v>84</v>
      </c>
      <c r="E23" s="20" t="n">
        <v>28</v>
      </c>
      <c r="F23" s="20" t="n">
        <v>10</v>
      </c>
      <c r="G23" s="20" t="n">
        <v>1</v>
      </c>
      <c r="H23" s="21" t="n">
        <f aca="false">E23*F23*G23</f>
        <v>280</v>
      </c>
      <c r="I23" s="19" t="s">
        <v>126</v>
      </c>
      <c r="J23" s="20" t="s">
        <v>101</v>
      </c>
      <c r="K23" s="20"/>
      <c r="L23" s="20"/>
    </row>
    <row r="24" customFormat="false" ht="15" hidden="false" customHeight="true" outlineLevel="0" collapsed="false">
      <c r="A24" s="18" t="n">
        <v>20</v>
      </c>
      <c r="B24" s="19" t="s">
        <v>123</v>
      </c>
      <c r="C24" s="18" t="s">
        <v>127</v>
      </c>
      <c r="D24" s="18" t="s">
        <v>128</v>
      </c>
      <c r="E24" s="20" t="n">
        <v>300</v>
      </c>
      <c r="F24" s="20" t="n">
        <v>0.6</v>
      </c>
      <c r="G24" s="20" t="n">
        <v>1</v>
      </c>
      <c r="H24" s="21" t="n">
        <f aca="false">E24*F24*G24</f>
        <v>180</v>
      </c>
      <c r="I24" s="19" t="s">
        <v>126</v>
      </c>
      <c r="J24" s="20" t="s">
        <v>101</v>
      </c>
      <c r="K24" s="20"/>
      <c r="L24" s="20"/>
    </row>
    <row r="25" customFormat="false" ht="15" hidden="false" customHeight="true" outlineLevel="0" collapsed="false">
      <c r="A25" s="18" t="n">
        <v>21</v>
      </c>
      <c r="B25" s="19" t="s">
        <v>123</v>
      </c>
      <c r="C25" s="18"/>
      <c r="D25" s="18"/>
      <c r="E25" s="20"/>
      <c r="F25" s="20"/>
      <c r="G25" s="20" t="n">
        <v>1</v>
      </c>
      <c r="H25" s="21" t="n">
        <f aca="false">E25*F25*G25</f>
        <v>0</v>
      </c>
      <c r="I25" s="19"/>
      <c r="J25" s="20"/>
      <c r="K25" s="20"/>
      <c r="L25" s="20"/>
    </row>
    <row r="26" customFormat="false" ht="15" hidden="false" customHeight="true" outlineLevel="0" collapsed="false">
      <c r="A26" s="18" t="n">
        <v>22</v>
      </c>
      <c r="B26" s="19" t="s">
        <v>123</v>
      </c>
      <c r="C26" s="18"/>
      <c r="D26" s="18"/>
      <c r="E26" s="20"/>
      <c r="F26" s="20"/>
      <c r="G26" s="20" t="n">
        <v>1</v>
      </c>
      <c r="H26" s="21" t="n">
        <f aca="false">E26*F26*G26</f>
        <v>0</v>
      </c>
      <c r="I26" s="19"/>
      <c r="J26" s="20"/>
      <c r="K26" s="20"/>
      <c r="L26" s="20"/>
    </row>
    <row r="27" customFormat="false" ht="27.75" hidden="false" customHeight="true" outlineLevel="0" collapsed="false">
      <c r="A27" s="18" t="n">
        <v>23</v>
      </c>
      <c r="B27" s="19" t="s">
        <v>129</v>
      </c>
      <c r="C27" s="18" t="s">
        <v>130</v>
      </c>
      <c r="D27" s="18" t="s">
        <v>84</v>
      </c>
      <c r="E27" s="20" t="n">
        <v>28</v>
      </c>
      <c r="F27" s="20" t="n">
        <v>20</v>
      </c>
      <c r="G27" s="20" t="n">
        <v>1</v>
      </c>
      <c r="H27" s="21" t="n">
        <f aca="false">E27*F27*G27</f>
        <v>560</v>
      </c>
      <c r="I27" s="19" t="s">
        <v>82</v>
      </c>
      <c r="J27" s="20" t="s">
        <v>101</v>
      </c>
      <c r="K27" s="20"/>
      <c r="L27" s="20"/>
    </row>
    <row r="28" customFormat="false" ht="27.75" hidden="false" customHeight="true" outlineLevel="0" collapsed="false">
      <c r="A28" s="18" t="n">
        <v>24</v>
      </c>
      <c r="B28" s="19" t="s">
        <v>129</v>
      </c>
      <c r="C28" s="18"/>
      <c r="D28" s="18"/>
      <c r="E28" s="20"/>
      <c r="F28" s="20"/>
      <c r="G28" s="20" t="n">
        <v>1</v>
      </c>
      <c r="H28" s="21" t="n">
        <f aca="false">E28*F28*G28</f>
        <v>0</v>
      </c>
      <c r="I28" s="19"/>
      <c r="J28" s="20"/>
      <c r="K28" s="20"/>
      <c r="L28" s="20"/>
    </row>
    <row r="29" customFormat="false" ht="27.75" hidden="false" customHeight="true" outlineLevel="0" collapsed="false">
      <c r="A29" s="18" t="n">
        <v>25</v>
      </c>
      <c r="B29" s="19" t="s">
        <v>129</v>
      </c>
      <c r="C29" s="18"/>
      <c r="D29" s="18"/>
      <c r="E29" s="20"/>
      <c r="F29" s="20"/>
      <c r="G29" s="20" t="n">
        <v>1</v>
      </c>
      <c r="H29" s="21" t="n">
        <f aca="false">E29*F29*G29</f>
        <v>0</v>
      </c>
      <c r="I29" s="19"/>
      <c r="J29" s="20"/>
      <c r="K29" s="20"/>
      <c r="L29" s="20"/>
    </row>
    <row r="30" customFormat="false" ht="27.75" hidden="false" customHeight="true" outlineLevel="0" collapsed="false">
      <c r="A30" s="18" t="n">
        <v>26</v>
      </c>
      <c r="B30" s="19" t="s">
        <v>129</v>
      </c>
      <c r="C30" s="18"/>
      <c r="D30" s="18"/>
      <c r="E30" s="20"/>
      <c r="F30" s="20"/>
      <c r="G30" s="20" t="n">
        <v>1</v>
      </c>
      <c r="H30" s="21" t="n">
        <f aca="false">E30*F30*G30</f>
        <v>0</v>
      </c>
      <c r="I30" s="19"/>
      <c r="J30" s="20"/>
      <c r="K30" s="20"/>
      <c r="L30" s="20"/>
    </row>
    <row r="31" customFormat="false" ht="15" hidden="false" customHeight="true" outlineLevel="0" collapsed="false">
      <c r="A31" s="18" t="n">
        <v>27</v>
      </c>
      <c r="B31" s="19" t="s">
        <v>82</v>
      </c>
      <c r="C31" s="18" t="s">
        <v>131</v>
      </c>
      <c r="D31" s="18" t="s">
        <v>113</v>
      </c>
      <c r="E31" s="20" t="n">
        <v>1</v>
      </c>
      <c r="F31" s="20" t="n">
        <v>100</v>
      </c>
      <c r="G31" s="20" t="n">
        <v>1</v>
      </c>
      <c r="H31" s="21" t="n">
        <f aca="false">E31*F31*G31</f>
        <v>100</v>
      </c>
      <c r="I31" s="19" t="s">
        <v>82</v>
      </c>
      <c r="J31" s="20" t="s">
        <v>118</v>
      </c>
      <c r="K31" s="20"/>
      <c r="L31" s="20"/>
    </row>
    <row r="32" customFormat="false" ht="15" hidden="false" customHeight="true" outlineLevel="0" collapsed="false">
      <c r="A32" s="18" t="n">
        <v>28</v>
      </c>
      <c r="B32" s="19" t="s">
        <v>82</v>
      </c>
      <c r="C32" s="18"/>
      <c r="D32" s="18"/>
      <c r="E32" s="20"/>
      <c r="F32" s="20"/>
      <c r="G32" s="20" t="n">
        <v>1</v>
      </c>
      <c r="H32" s="21" t="n">
        <f aca="false">E32*F32*G32</f>
        <v>0</v>
      </c>
      <c r="I32" s="19"/>
      <c r="J32" s="20"/>
      <c r="K32" s="20"/>
      <c r="L32" s="20"/>
    </row>
    <row r="33" customFormat="false" ht="15" hidden="false" customHeight="true" outlineLevel="0" collapsed="false">
      <c r="A33" s="18" t="n">
        <v>29</v>
      </c>
      <c r="B33" s="19" t="s">
        <v>82</v>
      </c>
      <c r="C33" s="18"/>
      <c r="D33" s="18"/>
      <c r="E33" s="20"/>
      <c r="F33" s="20"/>
      <c r="G33" s="20" t="n">
        <v>1</v>
      </c>
      <c r="H33" s="21" t="n">
        <f aca="false">E33*F33*G33</f>
        <v>0</v>
      </c>
      <c r="I33" s="19"/>
      <c r="J33" s="20"/>
      <c r="K33" s="20"/>
      <c r="L33" s="20"/>
    </row>
    <row r="34" customFormat="false" ht="15" hidden="false" customHeight="true" outlineLevel="0" collapsed="false">
      <c r="A34" s="18" t="n">
        <v>30</v>
      </c>
      <c r="B34" s="19" t="s">
        <v>132</v>
      </c>
      <c r="C34" s="18" t="s">
        <v>133</v>
      </c>
      <c r="D34" s="18" t="s">
        <v>113</v>
      </c>
      <c r="E34" s="20" t="n">
        <v>1</v>
      </c>
      <c r="F34" s="20" t="n">
        <v>250</v>
      </c>
      <c r="G34" s="20" t="n">
        <v>1</v>
      </c>
      <c r="H34" s="21" t="n">
        <f aca="false">E34*F34*G34</f>
        <v>250</v>
      </c>
      <c r="I34" s="19" t="s">
        <v>117</v>
      </c>
      <c r="J34" s="20" t="s">
        <v>118</v>
      </c>
      <c r="K34" s="20"/>
      <c r="L34" s="20"/>
    </row>
    <row r="35" customFormat="false" ht="15" hidden="false" customHeight="true" outlineLevel="0" collapsed="false">
      <c r="A35" s="18" t="n">
        <v>31</v>
      </c>
      <c r="B35" s="19" t="s">
        <v>132</v>
      </c>
      <c r="C35" s="18"/>
      <c r="D35" s="18"/>
      <c r="E35" s="20"/>
      <c r="F35" s="20"/>
      <c r="G35" s="20" t="n">
        <v>1</v>
      </c>
      <c r="H35" s="21" t="n">
        <f aca="false">E35*F35*G35</f>
        <v>0</v>
      </c>
      <c r="I35" s="19"/>
      <c r="J35" s="20"/>
      <c r="K35" s="20"/>
      <c r="L35" s="20"/>
    </row>
    <row r="36" customFormat="false" ht="15" hidden="false" customHeight="true" outlineLevel="0" collapsed="false">
      <c r="B36" s="22" t="s">
        <v>134</v>
      </c>
      <c r="H36" s="23" t="n">
        <f aca="false">SUM(H5:H35)</f>
        <v>7151</v>
      </c>
    </row>
  </sheetData>
  <mergeCells count="1">
    <mergeCell ref="A1:L1"/>
  </mergeCells>
  <dataValidations count="3">
    <dataValidation allowBlank="true" errorStyle="stop" operator="between" showDropDown="false" showErrorMessage="false" showInputMessage="false" sqref="B5:B35" type="list">
      <formula1>"Semences &amp; Intrants,Opérations mécanisées,Main d'œuvre,Plants &amp; investissements agroforestiers,Récolte &amp; post-récolte,Logistique,Commercialisation,Réserve d'exploitation"</formula1>
      <formula2>0</formula2>
    </dataValidation>
    <dataValidation allowBlank="true" errorStyle="stop" operator="between" showDropDown="false" showErrorMessage="false" showInputMessage="false" sqref="I5:I35" type="list">
      <formula1>"Préparation,Implantation,Croissance,Entretien,Récolte,Post récolte,Commercialisation,Tout le cycle"</formula1>
      <formula2>0</formula2>
    </dataValidation>
    <dataValidation allowBlank="true" errorStyle="stop" operator="between" showDropDown="false" showErrorMessage="false" showInputMessage="false" sqref="J5:J35" type="list">
      <formula1>"Crédit,Apport,Crédit / Apport"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3" min="2" style="1" width="18"/>
    <col collapsed="false" customWidth="true" hidden="false" outlineLevel="0" max="4" min="4" style="1" width="22"/>
  </cols>
  <sheetData>
    <row r="1" customFormat="false" ht="17.25" hidden="false" customHeight="true" outlineLevel="0" collapsed="false">
      <c r="A1" s="2" t="s">
        <v>135</v>
      </c>
      <c r="B1" s="2"/>
      <c r="C1" s="2"/>
      <c r="D1" s="2"/>
      <c r="E1" s="2"/>
      <c r="F1" s="2"/>
    </row>
    <row r="3" customFormat="false" ht="15" hidden="false" customHeight="true" outlineLevel="0" collapsed="false">
      <c r="A3" s="1" t="s">
        <v>136</v>
      </c>
    </row>
    <row r="4" customFormat="false" ht="15" hidden="false" customHeight="true" outlineLevel="0" collapsed="false">
      <c r="A4" s="4" t="s">
        <v>45</v>
      </c>
      <c r="B4" s="4" t="s">
        <v>137</v>
      </c>
      <c r="C4" s="4" t="s">
        <v>138</v>
      </c>
      <c r="D4" s="4" t="s">
        <v>139</v>
      </c>
    </row>
    <row r="5" customFormat="false" ht="15" hidden="false" customHeight="true" outlineLevel="0" collapsed="false">
      <c r="A5" s="6" t="s">
        <v>98</v>
      </c>
      <c r="B5" s="8" t="n">
        <f aca="false">SUMIF(4_Besoins_Financiers!B:B,A5,4_Besoins_Financiers!H:H)</f>
        <v>1350</v>
      </c>
      <c r="C5" s="12"/>
      <c r="D5" s="12"/>
    </row>
    <row r="6" customFormat="false" ht="15" hidden="false" customHeight="true" outlineLevel="0" collapsed="false">
      <c r="A6" s="6" t="s">
        <v>104</v>
      </c>
      <c r="B6" s="8" t="n">
        <f aca="false">SUMIF(4_Besoins_Financiers!B:B,A6,4_Besoins_Financiers!H:H)</f>
        <v>600</v>
      </c>
      <c r="C6" s="12"/>
      <c r="D6" s="12"/>
    </row>
    <row r="7" customFormat="false" ht="15" hidden="false" customHeight="true" outlineLevel="0" collapsed="false">
      <c r="A7" s="6" t="s">
        <v>107</v>
      </c>
      <c r="B7" s="8" t="n">
        <f aca="false">SUMIF(4_Besoins_Financiers!B:B,A7,4_Besoins_Financiers!H:H)</f>
        <v>1970</v>
      </c>
      <c r="C7" s="12"/>
      <c r="D7" s="12"/>
    </row>
    <row r="8" customFormat="false" ht="15" hidden="false" customHeight="true" outlineLevel="0" collapsed="false">
      <c r="A8" s="6" t="s">
        <v>119</v>
      </c>
      <c r="B8" s="8" t="n">
        <f aca="false">SUMIF(4_Besoins_Financiers!B:B,A8,4_Besoins_Financiers!H:H)</f>
        <v>1525</v>
      </c>
      <c r="C8" s="12"/>
      <c r="D8" s="12"/>
    </row>
    <row r="9" customFormat="false" ht="15" hidden="false" customHeight="true" outlineLevel="0" collapsed="false">
      <c r="A9" s="6" t="s">
        <v>123</v>
      </c>
      <c r="B9" s="8" t="n">
        <f aca="false">SUMIF(4_Besoins_Financiers!B:B,A9,4_Besoins_Financiers!H:H)</f>
        <v>796</v>
      </c>
      <c r="C9" s="12"/>
      <c r="D9" s="12"/>
    </row>
    <row r="10" customFormat="false" ht="15" hidden="false" customHeight="true" outlineLevel="0" collapsed="false">
      <c r="A10" s="6" t="s">
        <v>129</v>
      </c>
      <c r="B10" s="8" t="n">
        <f aca="false">SUMIF(4_Besoins_Financiers!B:B,A10,4_Besoins_Financiers!H:H)</f>
        <v>560</v>
      </c>
      <c r="C10" s="12"/>
      <c r="D10" s="12"/>
    </row>
    <row r="11" customFormat="false" ht="15" hidden="false" customHeight="true" outlineLevel="0" collapsed="false">
      <c r="A11" s="6" t="s">
        <v>82</v>
      </c>
      <c r="B11" s="8" t="n">
        <f aca="false">SUMIF(4_Besoins_Financiers!B:B,A11,4_Besoins_Financiers!H:H)</f>
        <v>100</v>
      </c>
      <c r="C11" s="12"/>
      <c r="D11" s="12"/>
    </row>
    <row r="12" customFormat="false" ht="15" hidden="false" customHeight="true" outlineLevel="0" collapsed="false">
      <c r="A12" s="6" t="s">
        <v>132</v>
      </c>
      <c r="B12" s="8" t="n">
        <f aca="false">SUMIF(4_Besoins_Financiers!B:B,A12,4_Besoins_Financiers!H:H)</f>
        <v>250</v>
      </c>
      <c r="C12" s="12"/>
      <c r="D12" s="12"/>
    </row>
    <row r="13" customFormat="false" ht="15" hidden="false" customHeight="true" outlineLevel="0" collapsed="false">
      <c r="A13" s="22" t="s">
        <v>140</v>
      </c>
      <c r="B13" s="23" t="n">
        <f aca="false">SUM(B5:B12)</f>
        <v>7151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26"/>
  </cols>
  <sheetData>
    <row r="1" customFormat="false" ht="17.25" hidden="false" customHeight="true" outlineLevel="0" collapsed="false">
      <c r="A1" s="2" t="s">
        <v>141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142</v>
      </c>
      <c r="C4" s="4" t="s">
        <v>143</v>
      </c>
      <c r="D4" s="4" t="s">
        <v>71</v>
      </c>
    </row>
    <row r="6" customFormat="false" ht="15" hidden="false" customHeight="true" outlineLevel="0" collapsed="false">
      <c r="A6" s="6" t="s">
        <v>144</v>
      </c>
      <c r="B6" s="8" t="n">
        <f aca="false">5_Synthese_Besoins!B13</f>
        <v>7151</v>
      </c>
      <c r="C6" s="12"/>
      <c r="D6" s="12"/>
    </row>
    <row r="7" customFormat="false" ht="15" hidden="false" customHeight="true" outlineLevel="0" collapsed="false">
      <c r="A7" s="6" t="s">
        <v>15</v>
      </c>
      <c r="B7" s="24" t="n">
        <f aca="false">2_Identification_Projet!B13</f>
        <v>2400</v>
      </c>
      <c r="C7" s="25" t="n">
        <f aca="false">B7/$B$6</f>
        <v>0.335617396168368</v>
      </c>
      <c r="D7" s="12" t="s">
        <v>145</v>
      </c>
    </row>
    <row r="8" customFormat="false" ht="15" hidden="false" customHeight="true" outlineLevel="0" collapsed="false">
      <c r="A8" s="6" t="s">
        <v>12</v>
      </c>
      <c r="B8" s="8" t="n">
        <f aca="false">B6-B7-B9</f>
        <v>4751</v>
      </c>
      <c r="C8" s="25" t="n">
        <f aca="false">B8/$B$6</f>
        <v>0.664382603831632</v>
      </c>
      <c r="D8" s="12" t="s">
        <v>146</v>
      </c>
    </row>
    <row r="9" customFormat="false" ht="15" hidden="false" customHeight="true" outlineLevel="0" collapsed="false">
      <c r="A9" s="6" t="s">
        <v>147</v>
      </c>
      <c r="B9" s="8" t="n">
        <v>0</v>
      </c>
      <c r="C9" s="25" t="n">
        <f aca="false">B9/$B$6</f>
        <v>0</v>
      </c>
      <c r="D9" s="12" t="s">
        <v>148</v>
      </c>
    </row>
    <row r="10" customFormat="false" ht="15" hidden="false" customHeight="true" outlineLevel="0" collapsed="false">
      <c r="A10" s="6" t="s">
        <v>149</v>
      </c>
      <c r="B10" s="8" t="n">
        <f aca="false">B6-B7-B8-B9</f>
        <v>0</v>
      </c>
      <c r="C10" s="25" t="n">
        <f aca="false">B10/$B$6</f>
        <v>0</v>
      </c>
      <c r="D10" s="12" t="s">
        <v>150</v>
      </c>
    </row>
    <row r="11" customFormat="false" ht="15" hidden="false" customHeight="true" outlineLevel="0" collapsed="false">
      <c r="A11" s="1" t="s">
        <v>151</v>
      </c>
      <c r="B11" s="8" t="n">
        <f aca="false">SUMIF(4_Besoins_Financiers!J:J,"*Crédit*",4_Besoins_Financiers!H:H)</f>
        <v>6171</v>
      </c>
      <c r="D11" s="1" t="s">
        <v>152</v>
      </c>
    </row>
    <row r="12" customFormat="false" ht="15" hidden="false" customHeight="true" outlineLevel="0" collapsed="false">
      <c r="A12" s="1" t="s">
        <v>153</v>
      </c>
      <c r="B12" s="8" t="n">
        <f aca="false">16_Tresorerie_Mensuelle!B21</f>
        <v>2424.72222222222</v>
      </c>
      <c r="D12" s="1" t="s">
        <v>154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8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20"/>
    <col collapsed="false" customWidth="true" hidden="false" outlineLevel="0" max="7" min="7" style="1" width="24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2" t="s">
        <v>155</v>
      </c>
      <c r="B1" s="2"/>
      <c r="C1" s="2"/>
      <c r="D1" s="2"/>
      <c r="E1" s="2"/>
      <c r="F1" s="2"/>
      <c r="G1" s="2"/>
      <c r="H1" s="2"/>
    </row>
    <row r="4" customFormat="false" ht="27.75" hidden="false" customHeight="true" outlineLevel="0" collapsed="false">
      <c r="A4" s="4" t="s">
        <v>156</v>
      </c>
      <c r="B4" s="4" t="s">
        <v>157</v>
      </c>
      <c r="C4" s="4" t="s">
        <v>158</v>
      </c>
      <c r="D4" s="4" t="s">
        <v>159</v>
      </c>
      <c r="E4" s="4" t="s">
        <v>142</v>
      </c>
      <c r="F4" s="4" t="s">
        <v>160</v>
      </c>
      <c r="G4" s="4" t="s">
        <v>161</v>
      </c>
      <c r="H4" s="4" t="s">
        <v>162</v>
      </c>
    </row>
    <row r="5" customFormat="false" ht="27.75" hidden="false" customHeight="true" outlineLevel="0" collapsed="false">
      <c r="A5" s="17" t="n">
        <v>1</v>
      </c>
      <c r="B5" s="17" t="s">
        <v>163</v>
      </c>
      <c r="C5" s="17" t="s">
        <v>164</v>
      </c>
      <c r="D5" s="17" t="s">
        <v>165</v>
      </c>
      <c r="E5" s="26" t="n">
        <f aca="false">SUMIF(4_Besoins_Financiers!I:I,"Préparation",4_Besoins_Financiers!H:H)</f>
        <v>3475</v>
      </c>
      <c r="F5" s="17" t="s">
        <v>166</v>
      </c>
      <c r="G5" s="17" t="s">
        <v>167</v>
      </c>
      <c r="H5" s="17" t="s">
        <v>168</v>
      </c>
    </row>
    <row r="6" customFormat="false" ht="15" hidden="false" customHeight="true" outlineLevel="0" collapsed="false">
      <c r="A6" s="17" t="n">
        <v>2</v>
      </c>
      <c r="B6" s="17" t="s">
        <v>169</v>
      </c>
      <c r="C6" s="17" t="s">
        <v>170</v>
      </c>
      <c r="D6" s="17" t="s">
        <v>171</v>
      </c>
      <c r="E6" s="26" t="n">
        <f aca="false">SUM(SUMIF(4_Besoins_Financiers!I:I,"Implantation",4_Besoins_Financiers!H:H),SUMIF(4_Besoins_Financiers!I:I,"Croissance",4_Besoins_Financiers!H:H),SUMIF(4_Besoins_Financiers!I:I,"Entretien",4_Besoins_Financiers!H:H),SUMIF(4_Besoins_Financiers!I:I,"Tout le cycle",4_Besoins_Financiers!H:H))</f>
        <v>2220</v>
      </c>
      <c r="F6" s="17" t="s">
        <v>172</v>
      </c>
      <c r="G6" s="17" t="s">
        <v>173</v>
      </c>
      <c r="H6" s="17" t="s">
        <v>168</v>
      </c>
    </row>
    <row r="7" customFormat="false" ht="15" hidden="false" customHeight="true" outlineLevel="0" collapsed="false">
      <c r="A7" s="17" t="n">
        <v>3</v>
      </c>
      <c r="B7" s="17" t="s">
        <v>174</v>
      </c>
      <c r="C7" s="17" t="s">
        <v>175</v>
      </c>
      <c r="D7" s="17" t="s">
        <v>176</v>
      </c>
      <c r="E7" s="26" t="n">
        <f aca="false">SUM(SUMIF(4_Besoins_Financiers!I:I,"Récolte",4_Besoins_Financiers!H:H),SUMIF(4_Besoins_Financiers!I:I,"Post récolte",4_Besoins_Financiers!H:H),SUMIF(4_Besoins_Financiers!I:I,"Commercialisation",4_Besoins_Financiers!H:H))</f>
        <v>1456</v>
      </c>
      <c r="F7" s="17" t="s">
        <v>172</v>
      </c>
      <c r="G7" s="17" t="s">
        <v>177</v>
      </c>
      <c r="H7" s="17" t="s">
        <v>168</v>
      </c>
    </row>
    <row r="8" customFormat="false" ht="15" hidden="false" customHeight="true" outlineLevel="0" collapsed="false">
      <c r="B8" s="4" t="s">
        <v>178</v>
      </c>
      <c r="E8" s="8" t="n">
        <f aca="false">SUM(E5:E7)</f>
        <v>7151</v>
      </c>
    </row>
    <row r="9" customFormat="false" ht="15" hidden="false" customHeight="true" outlineLevel="0" collapsed="false">
      <c r="B9" s="1" t="s">
        <v>179</v>
      </c>
      <c r="E9" s="8" t="n">
        <f aca="false">5_Synthese_Besoins!B13-E8</f>
        <v>0</v>
      </c>
      <c r="F9" s="1" t="str">
        <f aca="false">IF(E9=0,"OK","Écart à corriger")</f>
        <v>OK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18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2" t="s">
        <v>180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6" t="s">
        <v>181</v>
      </c>
      <c r="B2" s="7" t="n">
        <v>2</v>
      </c>
      <c r="C2" s="6" t="s">
        <v>182</v>
      </c>
      <c r="D2" s="27" t="n">
        <f aca="false">2_Identification_Projet!B8</f>
        <v>10</v>
      </c>
    </row>
    <row r="4" customFormat="false" ht="27.75" hidden="false" customHeight="true" outlineLevel="0" collapsed="false">
      <c r="A4" s="4" t="s">
        <v>183</v>
      </c>
      <c r="B4" s="4" t="s">
        <v>184</v>
      </c>
      <c r="C4" s="4" t="s">
        <v>68</v>
      </c>
      <c r="D4" s="4" t="s">
        <v>185</v>
      </c>
      <c r="E4" s="4" t="s">
        <v>186</v>
      </c>
      <c r="F4" s="4" t="s">
        <v>187</v>
      </c>
      <c r="G4" s="4" t="s">
        <v>188</v>
      </c>
      <c r="H4" s="4" t="s">
        <v>189</v>
      </c>
      <c r="I4" s="4" t="s">
        <v>190</v>
      </c>
      <c r="J4" s="4" t="s">
        <v>71</v>
      </c>
    </row>
    <row r="5" customFormat="false" ht="15" hidden="false" customHeight="true" outlineLevel="0" collapsed="false">
      <c r="A5" s="17" t="s">
        <v>191</v>
      </c>
      <c r="B5" s="27" t="n">
        <f aca="false">B2*D2</f>
        <v>20</v>
      </c>
      <c r="C5" s="17" t="s">
        <v>84</v>
      </c>
      <c r="D5" s="28" t="n">
        <v>0.1</v>
      </c>
      <c r="E5" s="16" t="n">
        <f aca="false">B5*(1-D5)</f>
        <v>18</v>
      </c>
      <c r="F5" s="29" t="n">
        <v>450</v>
      </c>
      <c r="G5" s="26" t="n">
        <f aca="false">E5*F5</f>
        <v>8100</v>
      </c>
      <c r="H5" s="15" t="n">
        <v>6</v>
      </c>
      <c r="I5" s="15" t="s">
        <v>192</v>
      </c>
      <c r="J5" s="17" t="s">
        <v>193</v>
      </c>
    </row>
    <row r="6" customFormat="false" ht="15" hidden="false" customHeight="true" outlineLevel="0" collapsed="false">
      <c r="A6" s="17" t="s">
        <v>194</v>
      </c>
      <c r="B6" s="15" t="n">
        <v>8</v>
      </c>
      <c r="C6" s="17" t="s">
        <v>84</v>
      </c>
      <c r="D6" s="28" t="n">
        <v>0.1</v>
      </c>
      <c r="E6" s="16" t="n">
        <f aca="false">B6*(1-D6)</f>
        <v>7.2</v>
      </c>
      <c r="F6" s="29" t="n">
        <v>450</v>
      </c>
      <c r="G6" s="26" t="n">
        <f aca="false">E6*F6</f>
        <v>3240</v>
      </c>
      <c r="H6" s="15" t="n">
        <v>12</v>
      </c>
      <c r="I6" s="15" t="s">
        <v>192</v>
      </c>
      <c r="J6" s="17" t="s">
        <v>195</v>
      </c>
    </row>
    <row r="7" customFormat="false" ht="15" hidden="false" customHeight="true" outlineLevel="0" collapsed="false">
      <c r="A7" s="1" t="s">
        <v>196</v>
      </c>
      <c r="B7" s="7" t="n">
        <v>0</v>
      </c>
      <c r="C7" s="7" t="s">
        <v>84</v>
      </c>
      <c r="D7" s="7" t="n">
        <v>0</v>
      </c>
      <c r="E7" s="27" t="n">
        <f aca="false">B7*(1-D7)</f>
        <v>0</v>
      </c>
      <c r="F7" s="7" t="n">
        <v>0</v>
      </c>
      <c r="G7" s="27" t="n">
        <f aca="false">E7*F7</f>
        <v>0</v>
      </c>
      <c r="H7" s="7"/>
      <c r="I7" s="7"/>
    </row>
    <row r="8" customFormat="false" ht="15" hidden="false" customHeight="true" outlineLevel="0" collapsed="false">
      <c r="A8" s="1" t="s">
        <v>197</v>
      </c>
      <c r="B8" s="7" t="n">
        <v>0</v>
      </c>
      <c r="C8" s="7" t="s">
        <v>84</v>
      </c>
      <c r="D8" s="7" t="n">
        <v>0</v>
      </c>
      <c r="E8" s="27" t="n">
        <f aca="false">B8*(1-D8)</f>
        <v>0</v>
      </c>
      <c r="F8" s="7" t="n">
        <v>0</v>
      </c>
      <c r="G8" s="27" t="n">
        <f aca="false">E8*F8</f>
        <v>0</v>
      </c>
      <c r="H8" s="7"/>
      <c r="I8" s="7"/>
    </row>
    <row r="9" customFormat="false" ht="15" hidden="false" customHeight="true" outlineLevel="0" collapsed="false">
      <c r="A9" s="22" t="s">
        <v>198</v>
      </c>
      <c r="G9" s="23" t="n">
        <f aca="false">SUM(G5:G8)</f>
        <v>11340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22"/>
  </cols>
  <sheetData>
    <row r="1" customFormat="false" ht="17.25" hidden="false" customHeight="true" outlineLevel="0" collapsed="false">
      <c r="A1" s="2" t="s">
        <v>199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45</v>
      </c>
      <c r="B4" s="4" t="s">
        <v>142</v>
      </c>
      <c r="C4" s="4" t="s">
        <v>139</v>
      </c>
    </row>
    <row r="6" customFormat="false" ht="15" hidden="false" customHeight="true" outlineLevel="0" collapsed="false">
      <c r="A6" s="6" t="s">
        <v>200</v>
      </c>
      <c r="B6" s="8" t="n">
        <f aca="false">8_Previsions_Ventes!G9</f>
        <v>11340</v>
      </c>
      <c r="C6" s="12"/>
    </row>
    <row r="7" customFormat="false" ht="15" hidden="false" customHeight="true" outlineLevel="0" collapsed="false">
      <c r="A7" s="6" t="s">
        <v>201</v>
      </c>
      <c r="B7" s="8" t="n">
        <f aca="false">5_Synthese_Besoins!B13-5_Synthese_Besoins!B8-5_Synthese_Besoins!B12</f>
        <v>5376</v>
      </c>
      <c r="C7" s="12" t="s">
        <v>202</v>
      </c>
    </row>
    <row r="8" customFormat="false" ht="15" hidden="false" customHeight="true" outlineLevel="0" collapsed="false">
      <c r="A8" s="6" t="s">
        <v>203</v>
      </c>
      <c r="B8" s="8" t="n">
        <f aca="false">B6-B7</f>
        <v>5964</v>
      </c>
      <c r="C8" s="12"/>
    </row>
    <row r="9" customFormat="false" ht="15" hidden="false" customHeight="true" outlineLevel="0" collapsed="false">
      <c r="A9" s="6" t="s">
        <v>204</v>
      </c>
      <c r="B9" s="8" t="n">
        <f aca="false">10_Capacite_Remboursement!B9</f>
        <v>641.385</v>
      </c>
      <c r="C9" s="12"/>
    </row>
    <row r="10" customFormat="false" ht="15" hidden="false" customHeight="true" outlineLevel="0" collapsed="false">
      <c r="A10" s="6" t="s">
        <v>205</v>
      </c>
      <c r="B10" s="8" t="n">
        <f aca="false">B8-B9</f>
        <v>5322.615</v>
      </c>
      <c r="C10" s="12"/>
    </row>
    <row r="11" customFormat="false" ht="15" hidden="false" customHeight="true" outlineLevel="0" collapsed="false">
      <c r="A11" s="6" t="s">
        <v>206</v>
      </c>
      <c r="B11" s="24" t="n">
        <v>0</v>
      </c>
      <c r="C11" s="12" t="s">
        <v>195</v>
      </c>
    </row>
    <row r="12" customFormat="false" ht="15" hidden="false" customHeight="true" outlineLevel="0" collapsed="false">
      <c r="A12" s="6" t="s">
        <v>21</v>
      </c>
      <c r="B12" s="8" t="n">
        <f aca="false">B10-B11</f>
        <v>5322.615</v>
      </c>
      <c r="C12" s="12"/>
    </row>
    <row r="13" customFormat="false" ht="15" hidden="false" customHeight="true" outlineLevel="0" collapsed="false">
      <c r="A13" s="6" t="s">
        <v>207</v>
      </c>
      <c r="B13" s="25" t="n">
        <f aca="false">IFERROR(B12/B6,0)</f>
        <v>0.469366402116402</v>
      </c>
      <c r="C13" s="12"/>
    </row>
    <row r="15" customFormat="false" ht="15" hidden="false" customHeight="true" outlineLevel="0" collapsed="false">
      <c r="A15" s="1" t="s">
        <v>208</v>
      </c>
      <c r="B15" s="8" t="n">
        <f aca="false">5_Synthese_Besoins!B8</f>
        <v>1525</v>
      </c>
      <c r="C15" s="1" t="s">
        <v>209</v>
      </c>
    </row>
    <row r="16" customFormat="false" ht="15" hidden="false" customHeight="true" outlineLevel="0" collapsed="false">
      <c r="A16" s="1" t="s">
        <v>210</v>
      </c>
      <c r="B16" s="8" t="n">
        <f aca="false">5_Synthese_Besoins!B12</f>
        <v>250</v>
      </c>
      <c r="C16" s="1" t="s">
        <v>211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3" min="3" style="1" width="26"/>
  </cols>
  <sheetData>
    <row r="1" customFormat="false" ht="17.25" hidden="false" customHeight="true" outlineLevel="0" collapsed="false">
      <c r="A1" s="2" t="s">
        <v>212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213</v>
      </c>
      <c r="B4" s="4" t="s">
        <v>5</v>
      </c>
      <c r="C4" s="4" t="s">
        <v>139</v>
      </c>
    </row>
    <row r="6" customFormat="false" ht="15" hidden="false" customHeight="true" outlineLevel="0" collapsed="false">
      <c r="A6" s="6" t="s">
        <v>12</v>
      </c>
      <c r="B6" s="8" t="n">
        <f aca="false">6_Plan_Financement!B8</f>
        <v>4751</v>
      </c>
      <c r="C6" s="12"/>
    </row>
    <row r="7" customFormat="false" ht="15" hidden="false" customHeight="true" outlineLevel="0" collapsed="false">
      <c r="A7" s="6" t="s">
        <v>29</v>
      </c>
      <c r="B7" s="25" t="n">
        <f aca="false">1_Accueil_Parametres!B16</f>
        <v>0.18</v>
      </c>
      <c r="C7" s="12"/>
    </row>
    <row r="8" customFormat="false" ht="15" hidden="false" customHeight="true" outlineLevel="0" collapsed="false">
      <c r="A8" s="6" t="s">
        <v>30</v>
      </c>
      <c r="B8" s="30" t="n">
        <f aca="false">1_Accueil_Parametres!B17</f>
        <v>12</v>
      </c>
      <c r="C8" s="12"/>
    </row>
    <row r="9" customFormat="false" ht="15" hidden="false" customHeight="true" outlineLevel="0" collapsed="false">
      <c r="A9" s="6" t="s">
        <v>214</v>
      </c>
      <c r="B9" s="8" t="n">
        <f aca="false">11_Echeancier!D29</f>
        <v>641.385</v>
      </c>
      <c r="C9" s="12"/>
    </row>
    <row r="10" customFormat="false" ht="15" hidden="false" customHeight="true" outlineLevel="0" collapsed="false">
      <c r="A10" s="6" t="s">
        <v>215</v>
      </c>
      <c r="B10" s="8" t="n">
        <f aca="false">B6+B9</f>
        <v>5392.385</v>
      </c>
      <c r="C10" s="12"/>
    </row>
    <row r="11" customFormat="false" ht="15" hidden="false" customHeight="true" outlineLevel="0" collapsed="false">
      <c r="A11" s="6" t="s">
        <v>216</v>
      </c>
      <c r="B11" s="8" t="n">
        <f aca="false">9_Compte_Exploitation!B8</f>
        <v>5964</v>
      </c>
      <c r="C11" s="12"/>
    </row>
    <row r="12" customFormat="false" ht="15" hidden="false" customHeight="true" outlineLevel="0" collapsed="false">
      <c r="A12" s="6" t="s">
        <v>217</v>
      </c>
      <c r="B12" s="9" t="n">
        <f aca="false">IFERROR(B11/B10,0)</f>
        <v>1.10600411506226</v>
      </c>
      <c r="C12" s="12"/>
    </row>
    <row r="13" customFormat="false" ht="15" hidden="false" customHeight="true" outlineLevel="0" collapsed="false">
      <c r="A13" s="6" t="s">
        <v>218</v>
      </c>
      <c r="B13" s="25" t="n">
        <f aca="false">B11-B10</f>
        <v>571.615</v>
      </c>
      <c r="C13" s="12"/>
    </row>
    <row r="14" customFormat="false" ht="15" hidden="false" customHeight="true" outlineLevel="0" collapsed="false">
      <c r="A14" s="6" t="s">
        <v>219</v>
      </c>
      <c r="B14" s="27" t="str">
        <f aca="false">IF(B12&gt;=1_Accueil_Parametres!B22,"Capacité satisfaisante",IF(B12&gt;=1,"Capacité limite — à sécuriser","Capacité insuffisante"))</f>
        <v>Capacité limite — à sécuriser</v>
      </c>
      <c r="C14" s="12"/>
    </row>
    <row r="15" customFormat="false" ht="15" hidden="false" customHeight="true" outlineLevel="0" collapsed="false">
      <c r="A15" s="1" t="s">
        <v>35</v>
      </c>
      <c r="B15" s="27" t="n">
        <f aca="false">1_Accueil_Parametres!B20</f>
        <v>5</v>
      </c>
      <c r="C15" s="1" t="s">
        <v>220</v>
      </c>
    </row>
    <row r="17" customFormat="false" ht="15" hidden="false" customHeight="true" outlineLevel="0" collapsed="false">
      <c r="A17" s="1" t="s">
        <v>221</v>
      </c>
      <c r="B17" s="11" t="n">
        <v>0.02</v>
      </c>
    </row>
    <row r="18" customFormat="false" ht="15" hidden="false" customHeight="true" outlineLevel="0" collapsed="false">
      <c r="A18" s="1" t="s">
        <v>222</v>
      </c>
      <c r="B18" s="11" t="n">
        <v>0.01</v>
      </c>
    </row>
    <row r="19" customFormat="false" ht="15" hidden="false" customHeight="true" outlineLevel="0" collapsed="false">
      <c r="A19" s="1" t="s">
        <v>223</v>
      </c>
      <c r="B19" s="8" t="n">
        <f aca="false">B6*(B17+B18)</f>
        <v>142.53</v>
      </c>
    </row>
    <row r="20" customFormat="false" ht="15" hidden="false" customHeight="true" outlineLevel="0" collapsed="false">
      <c r="A20" s="1" t="s">
        <v>224</v>
      </c>
      <c r="B20" s="8" t="n">
        <f aca="false">B9+B19</f>
        <v>783.915</v>
      </c>
    </row>
    <row r="21" customFormat="false" ht="15" hidden="false" customHeight="true" outlineLevel="0" collapsed="false">
      <c r="A21" s="1" t="s">
        <v>225</v>
      </c>
      <c r="B21" s="25" t="n">
        <f aca="false">IFERROR(B20/B6*12/B8,0)</f>
        <v>0.165</v>
      </c>
      <c r="C21" s="1" t="s">
        <v>226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5" min="2" style="1" width="14"/>
    <col collapsed="false" customWidth="true" hidden="false" outlineLevel="0" max="6" min="6" style="1" width="18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7.25" hidden="false" customHeight="true" outlineLevel="0" collapsed="false">
      <c r="A1" s="2" t="s">
        <v>227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1" t="s">
        <v>228</v>
      </c>
    </row>
    <row r="4" customFormat="false" ht="27.75" hidden="false" customHeight="true" outlineLevel="0" collapsed="false">
      <c r="A4" s="4" t="s">
        <v>229</v>
      </c>
      <c r="B4" s="4" t="s">
        <v>230</v>
      </c>
      <c r="C4" s="4" t="s">
        <v>231</v>
      </c>
      <c r="D4" s="4" t="s">
        <v>232</v>
      </c>
      <c r="E4" s="4" t="s">
        <v>233</v>
      </c>
      <c r="F4" s="4" t="s">
        <v>234</v>
      </c>
      <c r="G4" s="4" t="s">
        <v>235</v>
      </c>
      <c r="H4" s="4" t="s">
        <v>236</v>
      </c>
    </row>
    <row r="5" customFormat="false" ht="15" hidden="false" customHeight="true" outlineLevel="0" collapsed="false">
      <c r="A5" s="12" t="n">
        <v>1</v>
      </c>
      <c r="B5" s="31" t="n">
        <f aca="false">EDATE(1_Accueil_Parametres!$B$14,1)</f>
        <v>46082</v>
      </c>
      <c r="C5" s="8" t="n">
        <f aca="false">IF(AND(A5&gt;1_Accueil_Parametres!$B$20,A5&lt;=1_Accueil_Parametres!$B$17),6_Plan_Financement!$B$8/MAX(1_Accueil_Parametres!$B$17-1_Accueil_Parametres!$B$20,1),0)</f>
        <v>0</v>
      </c>
      <c r="D5" s="8" t="n">
        <f aca="false">IF(OR(A5&lt;=1_Accueil_Parametres!$B$20,A5&gt;1_Accueil_Parametres!$B$17),0,6_Plan_Financement!$B$8*1_Accueil_Parametres!$B$16/12+IF(A5=1_Accueil_Parametres!$B$20+1,6_Plan_Financement!$B$8*1_Accueil_Parametres!$B$16/12*1_Accueil_Parametres!$B$20,0))</f>
        <v>0</v>
      </c>
      <c r="E5" s="8" t="n">
        <f aca="false">C5+D5</f>
        <v>0</v>
      </c>
      <c r="F5" s="8" t="n">
        <f aca="false">6_Plan_Financement!$B$8-C5</f>
        <v>4751</v>
      </c>
      <c r="G5" s="12" t="str">
        <f aca="false">IF(A5&gt;1_Accueil_Parametres!$B$17,"—",IF(A5&lt;=1_Accueil_Parametres!$B$20,"Différé — intérêts capitalisés","Ventes du cycle"))</f>
        <v>Différé — intérêts capitalisés</v>
      </c>
      <c r="H5" s="12" t="str">
        <f aca="false">IF(A5&gt;1_Accueil_Parametres!$B$17,"—","Prévu")</f>
        <v>Prévu</v>
      </c>
    </row>
    <row r="6" customFormat="false" ht="15" hidden="false" customHeight="true" outlineLevel="0" collapsed="false">
      <c r="A6" s="12" t="n">
        <v>2</v>
      </c>
      <c r="B6" s="31" t="n">
        <f aca="false">EDATE(1_Accueil_Parametres!$B$14,2)</f>
        <v>46113</v>
      </c>
      <c r="C6" s="8" t="n">
        <f aca="false">IF(AND(A6&gt;1_Accueil_Parametres!$B$20,A6&lt;=1_Accueil_Parametres!$B$17),6_Plan_Financement!$B$8/MAX(1_Accueil_Parametres!$B$17-1_Accueil_Parametres!$B$20,1),0)</f>
        <v>0</v>
      </c>
      <c r="D6" s="8" t="n">
        <f aca="false">IF(OR(A6&lt;=1_Accueil_Parametres!$B$20,A6&gt;1_Accueil_Parametres!$B$17),0,F5*1_Accueil_Parametres!$B$16/12+IF(A6=1_Accueil_Parametres!$B$20+1,6_Plan_Financement!$B$8*1_Accueil_Parametres!$B$16/12*1_Accueil_Parametres!$B$20,0))</f>
        <v>0</v>
      </c>
      <c r="E6" s="8" t="n">
        <f aca="false">C6+D6</f>
        <v>0</v>
      </c>
      <c r="F6" s="8" t="n">
        <f aca="false">F5-C6</f>
        <v>4751</v>
      </c>
      <c r="G6" s="12" t="str">
        <f aca="false">IF(A6&gt;1_Accueil_Parametres!$B$17,"—",IF(A6&lt;=1_Accueil_Parametres!$B$20,"Différé — intérêts capitalisés","Ventes du cycle"))</f>
        <v>Différé — intérêts capitalisés</v>
      </c>
      <c r="H6" s="12" t="str">
        <f aca="false">IF(A6&gt;1_Accueil_Parametres!$B$17,"—","Prévu")</f>
        <v>Prévu</v>
      </c>
    </row>
    <row r="7" customFormat="false" ht="15" hidden="false" customHeight="true" outlineLevel="0" collapsed="false">
      <c r="A7" s="12" t="n">
        <v>3</v>
      </c>
      <c r="B7" s="31" t="n">
        <f aca="false">EDATE(1_Accueil_Parametres!$B$14,3)</f>
        <v>46143</v>
      </c>
      <c r="C7" s="8" t="n">
        <f aca="false">IF(AND(A7&gt;1_Accueil_Parametres!$B$20,A7&lt;=1_Accueil_Parametres!$B$17),6_Plan_Financement!$B$8/MAX(1_Accueil_Parametres!$B$17-1_Accueil_Parametres!$B$20,1),0)</f>
        <v>0</v>
      </c>
      <c r="D7" s="8" t="n">
        <f aca="false">IF(OR(A7&lt;=1_Accueil_Parametres!$B$20,A7&gt;1_Accueil_Parametres!$B$17),0,F6*1_Accueil_Parametres!$B$16/12+IF(A7=1_Accueil_Parametres!$B$20+1,6_Plan_Financement!$B$8*1_Accueil_Parametres!$B$16/12*1_Accueil_Parametres!$B$20,0))</f>
        <v>0</v>
      </c>
      <c r="E7" s="8" t="n">
        <f aca="false">C7+D7</f>
        <v>0</v>
      </c>
      <c r="F7" s="8" t="n">
        <f aca="false">F6-C7</f>
        <v>4751</v>
      </c>
      <c r="G7" s="12" t="str">
        <f aca="false">IF(A7&gt;1_Accueil_Parametres!$B$17,"—",IF(A7&lt;=1_Accueil_Parametres!$B$20,"Différé — intérêts capitalisés","Ventes du cycle"))</f>
        <v>Différé — intérêts capitalisés</v>
      </c>
      <c r="H7" s="12" t="str">
        <f aca="false">IF(A7&gt;1_Accueil_Parametres!$B$17,"—","Prévu")</f>
        <v>Prévu</v>
      </c>
    </row>
    <row r="8" customFormat="false" ht="15" hidden="false" customHeight="true" outlineLevel="0" collapsed="false">
      <c r="A8" s="12" t="n">
        <v>4</v>
      </c>
      <c r="B8" s="31" t="n">
        <f aca="false">EDATE(1_Accueil_Parametres!$B$14,4)</f>
        <v>46174</v>
      </c>
      <c r="C8" s="8" t="n">
        <f aca="false">IF(AND(A8&gt;1_Accueil_Parametres!$B$20,A8&lt;=1_Accueil_Parametres!$B$17),6_Plan_Financement!$B$8/MAX(1_Accueil_Parametres!$B$17-1_Accueil_Parametres!$B$20,1),0)</f>
        <v>0</v>
      </c>
      <c r="D8" s="8" t="n">
        <f aca="false">IF(OR(A8&lt;=1_Accueil_Parametres!$B$20,A8&gt;1_Accueil_Parametres!$B$17),0,F7*1_Accueil_Parametres!$B$16/12+IF(A8=1_Accueil_Parametres!$B$20+1,6_Plan_Financement!$B$8*1_Accueil_Parametres!$B$16/12*1_Accueil_Parametres!$B$20,0))</f>
        <v>0</v>
      </c>
      <c r="E8" s="8" t="n">
        <f aca="false">C8+D8</f>
        <v>0</v>
      </c>
      <c r="F8" s="8" t="n">
        <f aca="false">F7-C8</f>
        <v>4751</v>
      </c>
      <c r="G8" s="12" t="str">
        <f aca="false">IF(A8&gt;1_Accueil_Parametres!$B$17,"—",IF(A8&lt;=1_Accueil_Parametres!$B$20,"Différé — intérêts capitalisés","Ventes du cycle"))</f>
        <v>Différé — intérêts capitalisés</v>
      </c>
      <c r="H8" s="12" t="str">
        <f aca="false">IF(A8&gt;1_Accueil_Parametres!$B$17,"—","Prévu")</f>
        <v>Prévu</v>
      </c>
    </row>
    <row r="9" customFormat="false" ht="15" hidden="false" customHeight="true" outlineLevel="0" collapsed="false">
      <c r="A9" s="12" t="n">
        <v>5</v>
      </c>
      <c r="B9" s="31" t="n">
        <f aca="false">EDATE(1_Accueil_Parametres!$B$14,5)</f>
        <v>46204</v>
      </c>
      <c r="C9" s="8" t="n">
        <f aca="false">IF(AND(A9&gt;1_Accueil_Parametres!$B$20,A9&lt;=1_Accueil_Parametres!$B$17),6_Plan_Financement!$B$8/MAX(1_Accueil_Parametres!$B$17-1_Accueil_Parametres!$B$20,1),0)</f>
        <v>0</v>
      </c>
      <c r="D9" s="8" t="n">
        <f aca="false">IF(OR(A9&lt;=1_Accueil_Parametres!$B$20,A9&gt;1_Accueil_Parametres!$B$17),0,F8*1_Accueil_Parametres!$B$16/12+IF(A9=1_Accueil_Parametres!$B$20+1,6_Plan_Financement!$B$8*1_Accueil_Parametres!$B$16/12*1_Accueil_Parametres!$B$20,0))</f>
        <v>0</v>
      </c>
      <c r="E9" s="8" t="n">
        <f aca="false">C9+D9</f>
        <v>0</v>
      </c>
      <c r="F9" s="8" t="n">
        <f aca="false">F8-C9</f>
        <v>4751</v>
      </c>
      <c r="G9" s="12" t="str">
        <f aca="false">IF(A9&gt;1_Accueil_Parametres!$B$17,"—",IF(A9&lt;=1_Accueil_Parametres!$B$20,"Différé — intérêts capitalisés","Ventes du cycle"))</f>
        <v>Différé — intérêts capitalisés</v>
      </c>
      <c r="H9" s="12" t="str">
        <f aca="false">IF(A9&gt;1_Accueil_Parametres!$B$17,"—","Prévu")</f>
        <v>Prévu</v>
      </c>
    </row>
    <row r="10" customFormat="false" ht="15" hidden="false" customHeight="true" outlineLevel="0" collapsed="false">
      <c r="A10" s="12" t="n">
        <v>6</v>
      </c>
      <c r="B10" s="31" t="n">
        <f aca="false">EDATE(1_Accueil_Parametres!$B$14,6)</f>
        <v>46235</v>
      </c>
      <c r="C10" s="8" t="n">
        <f aca="false">IF(AND(A10&gt;1_Accueil_Parametres!$B$20,A10&lt;=1_Accueil_Parametres!$B$17),6_Plan_Financement!$B$8/MAX(1_Accueil_Parametres!$B$17-1_Accueil_Parametres!$B$20,1),0)</f>
        <v>678.714285714286</v>
      </c>
      <c r="D10" s="8" t="n">
        <f aca="false">IF(OR(A10&lt;=1_Accueil_Parametres!$B$20,A10&gt;1_Accueil_Parametres!$B$17),0,F9*1_Accueil_Parametres!$B$16/12+IF(A10=1_Accueil_Parametres!$B$20+1,6_Plan_Financement!$B$8*1_Accueil_Parametres!$B$16/12*1_Accueil_Parametres!$B$20,0))</f>
        <v>427.59</v>
      </c>
      <c r="E10" s="8" t="n">
        <f aca="false">C10+D10</f>
        <v>1106.30428571429</v>
      </c>
      <c r="F10" s="8" t="n">
        <f aca="false">F9-C10</f>
        <v>4072.28571428571</v>
      </c>
      <c r="G10" s="12" t="str">
        <f aca="false">IF(A10&gt;1_Accueil_Parametres!$B$17,"—",IF(A10&lt;=1_Accueil_Parametres!$B$20,"Différé — intérêts capitalisés","Ventes du cycle"))</f>
        <v>Ventes du cycle</v>
      </c>
      <c r="H10" s="12" t="str">
        <f aca="false">IF(A10&gt;1_Accueil_Parametres!$B$17,"—","Prévu")</f>
        <v>Prévu</v>
      </c>
    </row>
    <row r="11" customFormat="false" ht="15" hidden="false" customHeight="true" outlineLevel="0" collapsed="false">
      <c r="A11" s="12" t="n">
        <v>7</v>
      </c>
      <c r="B11" s="31" t="n">
        <f aca="false">EDATE(1_Accueil_Parametres!$B$14,7)</f>
        <v>46266</v>
      </c>
      <c r="C11" s="8" t="n">
        <f aca="false">IF(AND(A11&gt;1_Accueil_Parametres!$B$20,A11&lt;=1_Accueil_Parametres!$B$17),6_Plan_Financement!$B$8/MAX(1_Accueil_Parametres!$B$17-1_Accueil_Parametres!$B$20,1),0)</f>
        <v>678.714285714286</v>
      </c>
      <c r="D11" s="8" t="n">
        <f aca="false">IF(OR(A11&lt;=1_Accueil_Parametres!$B$20,A11&gt;1_Accueil_Parametres!$B$17),0,F10*1_Accueil_Parametres!$B$16/12+IF(A11=1_Accueil_Parametres!$B$20+1,6_Plan_Financement!$B$8*1_Accueil_Parametres!$B$16/12*1_Accueil_Parametres!$B$20,0))</f>
        <v>61.0842857142857</v>
      </c>
      <c r="E11" s="8" t="n">
        <f aca="false">C11+D11</f>
        <v>739.798571428571</v>
      </c>
      <c r="F11" s="8" t="n">
        <f aca="false">F10-C11</f>
        <v>3393.57142857143</v>
      </c>
      <c r="G11" s="12" t="str">
        <f aca="false">IF(A11&gt;1_Accueil_Parametres!$B$17,"—",IF(A11&lt;=1_Accueil_Parametres!$B$20,"Différé — intérêts capitalisés","Ventes du cycle"))</f>
        <v>Ventes du cycle</v>
      </c>
      <c r="H11" s="12" t="str">
        <f aca="false">IF(A11&gt;1_Accueil_Parametres!$B$17,"—","Prévu")</f>
        <v>Prévu</v>
      </c>
    </row>
    <row r="12" customFormat="false" ht="15" hidden="false" customHeight="true" outlineLevel="0" collapsed="false">
      <c r="A12" s="12" t="n">
        <v>8</v>
      </c>
      <c r="B12" s="31" t="n">
        <f aca="false">EDATE(1_Accueil_Parametres!$B$14,8)</f>
        <v>46296</v>
      </c>
      <c r="C12" s="8" t="n">
        <f aca="false">IF(AND(A12&gt;1_Accueil_Parametres!$B$20,A12&lt;=1_Accueil_Parametres!$B$17),6_Plan_Financement!$B$8/MAX(1_Accueil_Parametres!$B$17-1_Accueil_Parametres!$B$20,1),0)</f>
        <v>678.714285714286</v>
      </c>
      <c r="D12" s="8" t="n">
        <f aca="false">IF(OR(A12&lt;=1_Accueil_Parametres!$B$20,A12&gt;1_Accueil_Parametres!$B$17),0,F11*1_Accueil_Parametres!$B$16/12+IF(A12=1_Accueil_Parametres!$B$20+1,6_Plan_Financement!$B$8*1_Accueil_Parametres!$B$16/12*1_Accueil_Parametres!$B$20,0))</f>
        <v>50.9035714285714</v>
      </c>
      <c r="E12" s="8" t="n">
        <f aca="false">C12+D12</f>
        <v>729.617857142857</v>
      </c>
      <c r="F12" s="8" t="n">
        <f aca="false">F11-C12</f>
        <v>2714.85714285714</v>
      </c>
      <c r="G12" s="12" t="str">
        <f aca="false">IF(A12&gt;1_Accueil_Parametres!$B$17,"—",IF(A12&lt;=1_Accueil_Parametres!$B$20,"Différé — intérêts capitalisés","Ventes du cycle"))</f>
        <v>Ventes du cycle</v>
      </c>
      <c r="H12" s="12" t="str">
        <f aca="false">IF(A12&gt;1_Accueil_Parametres!$B$17,"—","Prévu")</f>
        <v>Prévu</v>
      </c>
    </row>
    <row r="13" customFormat="false" ht="15" hidden="false" customHeight="true" outlineLevel="0" collapsed="false">
      <c r="A13" s="1" t="n">
        <v>9</v>
      </c>
      <c r="B13" s="32" t="n">
        <f aca="false">EDATE(1_Accueil_Parametres!$B$14,9)</f>
        <v>46327</v>
      </c>
      <c r="C13" s="33" t="n">
        <f aca="false">IF(AND(A13&gt;1_Accueil_Parametres!$B$20,A13&lt;=1_Accueil_Parametres!$B$17),6_Plan_Financement!$B$8/MAX(1_Accueil_Parametres!$B$17-1_Accueil_Parametres!$B$20,1),0)</f>
        <v>678.714285714286</v>
      </c>
      <c r="D13" s="33" t="n">
        <f aca="false">IF(OR(A13&lt;=1_Accueil_Parametres!$B$20,A13&gt;1_Accueil_Parametres!$B$17),0,F12*1_Accueil_Parametres!$B$16/12+IF(A13=1_Accueil_Parametres!$B$20+1,6_Plan_Financement!$B$8*1_Accueil_Parametres!$B$16/12*1_Accueil_Parametres!$B$20,0))</f>
        <v>40.7228571428571</v>
      </c>
      <c r="E13" s="33" t="n">
        <f aca="false">C13+D13</f>
        <v>719.437142857143</v>
      </c>
      <c r="F13" s="33" t="n">
        <f aca="false">F12-C13</f>
        <v>2036.14285714286</v>
      </c>
      <c r="G13" s="1" t="str">
        <f aca="false">IF(A13&gt;1_Accueil_Parametres!$B$17,"—",IF(A13&lt;=1_Accueil_Parametres!$B$20,"Différé — intérêts capitalisés","Ventes du cycle"))</f>
        <v>Ventes du cycle</v>
      </c>
      <c r="H13" s="1" t="str">
        <f aca="false">IF(A13&gt;1_Accueil_Parametres!$B$17,"—","Prévu")</f>
        <v>Prévu</v>
      </c>
    </row>
    <row r="14" customFormat="false" ht="15" hidden="false" customHeight="true" outlineLevel="0" collapsed="false">
      <c r="A14" s="1" t="n">
        <v>10</v>
      </c>
      <c r="B14" s="32" t="n">
        <f aca="false">EDATE(1_Accueil_Parametres!$B$14,10)</f>
        <v>46357</v>
      </c>
      <c r="C14" s="33" t="n">
        <f aca="false">IF(AND(A14&gt;1_Accueil_Parametres!$B$20,A14&lt;=1_Accueil_Parametres!$B$17),6_Plan_Financement!$B$8/MAX(1_Accueil_Parametres!$B$17-1_Accueil_Parametres!$B$20,1),0)</f>
        <v>678.714285714286</v>
      </c>
      <c r="D14" s="33" t="n">
        <f aca="false">IF(OR(A14&lt;=1_Accueil_Parametres!$B$20,A14&gt;1_Accueil_Parametres!$B$17),0,F13*1_Accueil_Parametres!$B$16/12+IF(A14=1_Accueil_Parametres!$B$20+1,6_Plan_Financement!$B$8*1_Accueil_Parametres!$B$16/12*1_Accueil_Parametres!$B$20,0))</f>
        <v>30.5421428571429</v>
      </c>
      <c r="E14" s="33" t="n">
        <f aca="false">C14+D14</f>
        <v>709.256428571429</v>
      </c>
      <c r="F14" s="33" t="n">
        <f aca="false">F13-C14</f>
        <v>1357.42857142857</v>
      </c>
      <c r="G14" s="1" t="str">
        <f aca="false">IF(A14&gt;1_Accueil_Parametres!$B$17,"—",IF(A14&lt;=1_Accueil_Parametres!$B$20,"Différé — intérêts capitalisés","Ventes du cycle"))</f>
        <v>Ventes du cycle</v>
      </c>
      <c r="H14" s="1" t="str">
        <f aca="false">IF(A14&gt;1_Accueil_Parametres!$B$17,"—","Prévu")</f>
        <v>Prévu</v>
      </c>
    </row>
    <row r="15" customFormat="false" ht="15" hidden="false" customHeight="true" outlineLevel="0" collapsed="false">
      <c r="A15" s="1" t="n">
        <v>11</v>
      </c>
      <c r="B15" s="32" t="n">
        <f aca="false">EDATE(1_Accueil_Parametres!$B$14,11)</f>
        <v>46388</v>
      </c>
      <c r="C15" s="33" t="n">
        <f aca="false">IF(AND(A15&gt;1_Accueil_Parametres!$B$20,A15&lt;=1_Accueil_Parametres!$B$17),6_Plan_Financement!$B$8/MAX(1_Accueil_Parametres!$B$17-1_Accueil_Parametres!$B$20,1),0)</f>
        <v>678.714285714286</v>
      </c>
      <c r="D15" s="33" t="n">
        <f aca="false">IF(OR(A15&lt;=1_Accueil_Parametres!$B$20,A15&gt;1_Accueil_Parametres!$B$17),0,F14*1_Accueil_Parametres!$B$16/12+IF(A15=1_Accueil_Parametres!$B$20+1,6_Plan_Financement!$B$8*1_Accueil_Parametres!$B$16/12*1_Accueil_Parametres!$B$20,0))</f>
        <v>20.3614285714286</v>
      </c>
      <c r="E15" s="33" t="n">
        <f aca="false">C15+D15</f>
        <v>699.075714285714</v>
      </c>
      <c r="F15" s="33" t="n">
        <f aca="false">F14-C15</f>
        <v>678.714285714285</v>
      </c>
      <c r="G15" s="1" t="str">
        <f aca="false">IF(A15&gt;1_Accueil_Parametres!$B$17,"—",IF(A15&lt;=1_Accueil_Parametres!$B$20,"Différé — intérêts capitalisés","Ventes du cycle"))</f>
        <v>Ventes du cycle</v>
      </c>
      <c r="H15" s="1" t="str">
        <f aca="false">IF(A15&gt;1_Accueil_Parametres!$B$17,"—","Prévu")</f>
        <v>Prévu</v>
      </c>
    </row>
    <row r="16" customFormat="false" ht="15" hidden="false" customHeight="true" outlineLevel="0" collapsed="false">
      <c r="A16" s="1" t="n">
        <v>12</v>
      </c>
      <c r="B16" s="32" t="n">
        <f aca="false">EDATE(1_Accueil_Parametres!$B$14,12)</f>
        <v>46419</v>
      </c>
      <c r="C16" s="33" t="n">
        <f aca="false">IF(AND(A16&gt;1_Accueil_Parametres!$B$20,A16&lt;=1_Accueil_Parametres!$B$17),6_Plan_Financement!$B$8/MAX(1_Accueil_Parametres!$B$17-1_Accueil_Parametres!$B$20,1),0)</f>
        <v>678.714285714286</v>
      </c>
      <c r="D16" s="33" t="n">
        <f aca="false">IF(OR(A16&lt;=1_Accueil_Parametres!$B$20,A16&gt;1_Accueil_Parametres!$B$17),0,F15*1_Accueil_Parametres!$B$16/12+IF(A16=1_Accueil_Parametres!$B$20+1,6_Plan_Financement!$B$8*1_Accueil_Parametres!$B$16/12*1_Accueil_Parametres!$B$20,0))</f>
        <v>10.1807142857143</v>
      </c>
      <c r="E16" s="33" t="n">
        <f aca="false">C16+D16</f>
        <v>688.895</v>
      </c>
      <c r="F16" s="33" t="n">
        <f aca="false">F15-C16</f>
        <v>0</v>
      </c>
      <c r="G16" s="1" t="str">
        <f aca="false">IF(A16&gt;1_Accueil_Parametres!$B$17,"—",IF(A16&lt;=1_Accueil_Parametres!$B$20,"Différé — intérêts capitalisés","Ventes du cycle"))</f>
        <v>Ventes du cycle</v>
      </c>
      <c r="H16" s="1" t="str">
        <f aca="false">IF(A16&gt;1_Accueil_Parametres!$B$17,"—","Prévu")</f>
        <v>Prévu</v>
      </c>
    </row>
    <row r="17" customFormat="false" ht="15" hidden="false" customHeight="true" outlineLevel="0" collapsed="false">
      <c r="A17" s="1" t="n">
        <v>13</v>
      </c>
      <c r="B17" s="34" t="n">
        <f aca="false">EDATE(1_Accueil_Parametres!$B$14,13)</f>
        <v>46447</v>
      </c>
      <c r="C17" s="8" t="n">
        <f aca="false">IF(AND(A17&gt;1_Accueil_Parametres!$B$20,A17&lt;=1_Accueil_Parametres!$B$17),6_Plan_Financement!$B$8/MAX(1_Accueil_Parametres!$B$17-1_Accueil_Parametres!$B$20,1),0)</f>
        <v>0</v>
      </c>
      <c r="D17" s="8" t="n">
        <f aca="false">IF(OR(A17&lt;=1_Accueil_Parametres!$B$20,A17&gt;1_Accueil_Parametres!$B$17),0,F16*1_Accueil_Parametres!$B$16/12+IF(A17=1_Accueil_Parametres!$B$20+1,6_Plan_Financement!$B$8*1_Accueil_Parametres!$B$16/12*1_Accueil_Parametres!$B$20,0))</f>
        <v>0</v>
      </c>
      <c r="E17" s="8" t="n">
        <f aca="false">C17+D17</f>
        <v>0</v>
      </c>
      <c r="F17" s="33" t="n">
        <f aca="false">F16-C17</f>
        <v>0</v>
      </c>
      <c r="G17" s="1" t="str">
        <f aca="false">IF(A17&gt;1_Accueil_Parametres!$B$17,"—",IF(A17&lt;=1_Accueil_Parametres!$B$20,"Différé — intérêts capitalisés","Ventes du cycle"))</f>
        <v>—</v>
      </c>
      <c r="H17" s="1" t="str">
        <f aca="false">IF(A17&gt;1_Accueil_Parametres!$B$17,"—","Prévu")</f>
        <v>—</v>
      </c>
    </row>
    <row r="18" customFormat="false" ht="15" hidden="false" customHeight="true" outlineLevel="0" collapsed="false">
      <c r="A18" s="1" t="n">
        <v>14</v>
      </c>
      <c r="B18" s="32" t="n">
        <f aca="false">EDATE(1_Accueil_Parametres!$B$14,14)</f>
        <v>46478</v>
      </c>
      <c r="C18" s="33" t="n">
        <f aca="false">IF(AND(A18&gt;1_Accueil_Parametres!$B$20,A18&lt;=1_Accueil_Parametres!$B$17),6_Plan_Financement!$B$8/MAX(1_Accueil_Parametres!$B$17-1_Accueil_Parametres!$B$20,1),0)</f>
        <v>0</v>
      </c>
      <c r="D18" s="33" t="n">
        <f aca="false">IF(OR(A18&lt;=1_Accueil_Parametres!$B$20,A18&gt;1_Accueil_Parametres!$B$17),0,F17*1_Accueil_Parametres!$B$16/12+IF(A18=1_Accueil_Parametres!$B$20+1,6_Plan_Financement!$B$8*1_Accueil_Parametres!$B$16/12*1_Accueil_Parametres!$B$20,0))</f>
        <v>0</v>
      </c>
      <c r="E18" s="33" t="n">
        <f aca="false">C18+D18</f>
        <v>0</v>
      </c>
      <c r="F18" s="33" t="n">
        <f aca="false">F17-C18</f>
        <v>0</v>
      </c>
      <c r="G18" s="1" t="str">
        <f aca="false">IF(A18&gt;1_Accueil_Parametres!$B$17,"—",IF(A18&lt;=1_Accueil_Parametres!$B$20,"Différé — intérêts capitalisés","Ventes du cycle"))</f>
        <v>—</v>
      </c>
      <c r="H18" s="1" t="str">
        <f aca="false">IF(A18&gt;1_Accueil_Parametres!$B$17,"—","Prévu")</f>
        <v>—</v>
      </c>
    </row>
    <row r="19" customFormat="false" ht="15" hidden="false" customHeight="true" outlineLevel="0" collapsed="false">
      <c r="A19" s="1" t="n">
        <v>15</v>
      </c>
      <c r="B19" s="32" t="n">
        <f aca="false">EDATE(1_Accueil_Parametres!$B$14,15)</f>
        <v>46508</v>
      </c>
      <c r="C19" s="33" t="n">
        <f aca="false">IF(AND(A19&gt;1_Accueil_Parametres!$B$20,A19&lt;=1_Accueil_Parametres!$B$17),6_Plan_Financement!$B$8/MAX(1_Accueil_Parametres!$B$17-1_Accueil_Parametres!$B$20,1),0)</f>
        <v>0</v>
      </c>
      <c r="D19" s="33" t="n">
        <f aca="false">IF(OR(A19&lt;=1_Accueil_Parametres!$B$20,A19&gt;1_Accueil_Parametres!$B$17),0,F18*1_Accueil_Parametres!$B$16/12+IF(A19=1_Accueil_Parametres!$B$20+1,6_Plan_Financement!$B$8*1_Accueil_Parametres!$B$16/12*1_Accueil_Parametres!$B$20,0))</f>
        <v>0</v>
      </c>
      <c r="E19" s="33" t="n">
        <f aca="false">C19+D19</f>
        <v>0</v>
      </c>
      <c r="F19" s="33" t="n">
        <f aca="false">F18-C19</f>
        <v>0</v>
      </c>
      <c r="G19" s="1" t="str">
        <f aca="false">IF(A19&gt;1_Accueil_Parametres!$B$17,"—",IF(A19&lt;=1_Accueil_Parametres!$B$20,"Différé — intérêts capitalisés","Ventes du cycle"))</f>
        <v>—</v>
      </c>
      <c r="H19" s="1" t="str">
        <f aca="false">IF(A19&gt;1_Accueil_Parametres!$B$17,"—","Prévu")</f>
        <v>—</v>
      </c>
    </row>
    <row r="20" customFormat="false" ht="15" hidden="false" customHeight="true" outlineLevel="0" collapsed="false">
      <c r="A20" s="1" t="n">
        <v>16</v>
      </c>
      <c r="B20" s="32" t="n">
        <f aca="false">EDATE(1_Accueil_Parametres!$B$14,16)</f>
        <v>46539</v>
      </c>
      <c r="C20" s="33" t="n">
        <f aca="false">IF(AND(A20&gt;1_Accueil_Parametres!$B$20,A20&lt;=1_Accueil_Parametres!$B$17),6_Plan_Financement!$B$8/MAX(1_Accueil_Parametres!$B$17-1_Accueil_Parametres!$B$20,1),0)</f>
        <v>0</v>
      </c>
      <c r="D20" s="33" t="n">
        <f aca="false">IF(OR(A20&lt;=1_Accueil_Parametres!$B$20,A20&gt;1_Accueil_Parametres!$B$17),0,F19*1_Accueil_Parametres!$B$16/12+IF(A20=1_Accueil_Parametres!$B$20+1,6_Plan_Financement!$B$8*1_Accueil_Parametres!$B$16/12*1_Accueil_Parametres!$B$20,0))</f>
        <v>0</v>
      </c>
      <c r="E20" s="33" t="n">
        <f aca="false">C20+D20</f>
        <v>0</v>
      </c>
      <c r="F20" s="33" t="n">
        <f aca="false">F19-C20</f>
        <v>0</v>
      </c>
      <c r="G20" s="1" t="str">
        <f aca="false">IF(A20&gt;1_Accueil_Parametres!$B$17,"—",IF(A20&lt;=1_Accueil_Parametres!$B$20,"Différé — intérêts capitalisés","Ventes du cycle"))</f>
        <v>—</v>
      </c>
      <c r="H20" s="1" t="str">
        <f aca="false">IF(A20&gt;1_Accueil_Parametres!$B$17,"—","Prévu")</f>
        <v>—</v>
      </c>
    </row>
    <row r="21" customFormat="false" ht="15" hidden="false" customHeight="true" outlineLevel="0" collapsed="false">
      <c r="A21" s="1" t="n">
        <v>17</v>
      </c>
      <c r="B21" s="32" t="n">
        <f aca="false">EDATE(1_Accueil_Parametres!$B$14,17)</f>
        <v>46569</v>
      </c>
      <c r="C21" s="33" t="n">
        <f aca="false">IF(AND(A21&gt;1_Accueil_Parametres!$B$20,A21&lt;=1_Accueil_Parametres!$B$17),6_Plan_Financement!$B$8/MAX(1_Accueil_Parametres!$B$17-1_Accueil_Parametres!$B$20,1),0)</f>
        <v>0</v>
      </c>
      <c r="D21" s="33" t="n">
        <f aca="false">IF(OR(A21&lt;=1_Accueil_Parametres!$B$20,A21&gt;1_Accueil_Parametres!$B$17),0,F20*1_Accueil_Parametres!$B$16/12+IF(A21=1_Accueil_Parametres!$B$20+1,6_Plan_Financement!$B$8*1_Accueil_Parametres!$B$16/12*1_Accueil_Parametres!$B$20,0))</f>
        <v>0</v>
      </c>
      <c r="E21" s="33" t="n">
        <f aca="false">C21+D21</f>
        <v>0</v>
      </c>
      <c r="F21" s="33" t="n">
        <f aca="false">F20-C21</f>
        <v>0</v>
      </c>
      <c r="G21" s="1" t="str">
        <f aca="false">IF(A21&gt;1_Accueil_Parametres!$B$17,"—",IF(A21&lt;=1_Accueil_Parametres!$B$20,"Différé — intérêts capitalisés","Ventes du cycle"))</f>
        <v>—</v>
      </c>
      <c r="H21" s="1" t="str">
        <f aca="false">IF(A21&gt;1_Accueil_Parametres!$B$17,"—","Prévu")</f>
        <v>—</v>
      </c>
    </row>
    <row r="22" customFormat="false" ht="15" hidden="false" customHeight="true" outlineLevel="0" collapsed="false">
      <c r="A22" s="1" t="n">
        <v>18</v>
      </c>
      <c r="B22" s="32" t="n">
        <f aca="false">EDATE(1_Accueil_Parametres!$B$14,18)</f>
        <v>46600</v>
      </c>
      <c r="C22" s="33" t="n">
        <f aca="false">IF(AND(A22&gt;1_Accueil_Parametres!$B$20,A22&lt;=1_Accueil_Parametres!$B$17),6_Plan_Financement!$B$8/MAX(1_Accueil_Parametres!$B$17-1_Accueil_Parametres!$B$20,1),0)</f>
        <v>0</v>
      </c>
      <c r="D22" s="33" t="n">
        <f aca="false">IF(OR(A22&lt;=1_Accueil_Parametres!$B$20,A22&gt;1_Accueil_Parametres!$B$17),0,F21*1_Accueil_Parametres!$B$16/12+IF(A22=1_Accueil_Parametres!$B$20+1,6_Plan_Financement!$B$8*1_Accueil_Parametres!$B$16/12*1_Accueil_Parametres!$B$20,0))</f>
        <v>0</v>
      </c>
      <c r="E22" s="33" t="n">
        <f aca="false">C22+D22</f>
        <v>0</v>
      </c>
      <c r="F22" s="33" t="n">
        <f aca="false">F21-C22</f>
        <v>0</v>
      </c>
      <c r="G22" s="1" t="str">
        <f aca="false">IF(A22&gt;1_Accueil_Parametres!$B$17,"—",IF(A22&lt;=1_Accueil_Parametres!$B$20,"Différé — intérêts capitalisés","Ventes du cycle"))</f>
        <v>—</v>
      </c>
      <c r="H22" s="1" t="str">
        <f aca="false">IF(A22&gt;1_Accueil_Parametres!$B$17,"—","Prévu")</f>
        <v>—</v>
      </c>
    </row>
    <row r="23" customFormat="false" ht="15" hidden="false" customHeight="true" outlineLevel="0" collapsed="false">
      <c r="A23" s="1" t="n">
        <v>19</v>
      </c>
      <c r="B23" s="32" t="n">
        <f aca="false">EDATE(1_Accueil_Parametres!$B$14,19)</f>
        <v>46631</v>
      </c>
      <c r="C23" s="33" t="n">
        <f aca="false">IF(AND(A23&gt;1_Accueil_Parametres!$B$20,A23&lt;=1_Accueil_Parametres!$B$17),6_Plan_Financement!$B$8/MAX(1_Accueil_Parametres!$B$17-1_Accueil_Parametres!$B$20,1),0)</f>
        <v>0</v>
      </c>
      <c r="D23" s="33" t="n">
        <f aca="false">IF(OR(A23&lt;=1_Accueil_Parametres!$B$20,A23&gt;1_Accueil_Parametres!$B$17),0,F22*1_Accueil_Parametres!$B$16/12+IF(A23=1_Accueil_Parametres!$B$20+1,6_Plan_Financement!$B$8*1_Accueil_Parametres!$B$16/12*1_Accueil_Parametres!$B$20,0))</f>
        <v>0</v>
      </c>
      <c r="E23" s="33" t="n">
        <f aca="false">C23+D23</f>
        <v>0</v>
      </c>
      <c r="F23" s="33" t="n">
        <f aca="false">F22-C23</f>
        <v>0</v>
      </c>
      <c r="G23" s="1" t="str">
        <f aca="false">IF(A23&gt;1_Accueil_Parametres!$B$17,"—",IF(A23&lt;=1_Accueil_Parametres!$B$20,"Différé — intérêts capitalisés","Ventes du cycle"))</f>
        <v>—</v>
      </c>
      <c r="H23" s="1" t="str">
        <f aca="false">IF(A23&gt;1_Accueil_Parametres!$B$17,"—","Prévu")</f>
        <v>—</v>
      </c>
    </row>
    <row r="24" customFormat="false" ht="15" hidden="false" customHeight="true" outlineLevel="0" collapsed="false">
      <c r="A24" s="1" t="n">
        <v>20</v>
      </c>
      <c r="B24" s="32" t="n">
        <f aca="false">EDATE(1_Accueil_Parametres!$B$14,20)</f>
        <v>46661</v>
      </c>
      <c r="C24" s="33" t="n">
        <f aca="false">IF(AND(A24&gt;1_Accueil_Parametres!$B$20,A24&lt;=1_Accueil_Parametres!$B$17),6_Plan_Financement!$B$8/MAX(1_Accueil_Parametres!$B$17-1_Accueil_Parametres!$B$20,1),0)</f>
        <v>0</v>
      </c>
      <c r="D24" s="33" t="n">
        <f aca="false">IF(OR(A24&lt;=1_Accueil_Parametres!$B$20,A24&gt;1_Accueil_Parametres!$B$17),0,F23*1_Accueil_Parametres!$B$16/12+IF(A24=1_Accueil_Parametres!$B$20+1,6_Plan_Financement!$B$8*1_Accueil_Parametres!$B$16/12*1_Accueil_Parametres!$B$20,0))</f>
        <v>0</v>
      </c>
      <c r="E24" s="33" t="n">
        <f aca="false">C24+D24</f>
        <v>0</v>
      </c>
      <c r="F24" s="33" t="n">
        <f aca="false">F23-C24</f>
        <v>0</v>
      </c>
      <c r="G24" s="1" t="str">
        <f aca="false">IF(A24&gt;1_Accueil_Parametres!$B$17,"—",IF(A24&lt;=1_Accueil_Parametres!$B$20,"Différé — intérêts capitalisés","Ventes du cycle"))</f>
        <v>—</v>
      </c>
      <c r="H24" s="1" t="str">
        <f aca="false">IF(A24&gt;1_Accueil_Parametres!$B$17,"—","Prévu")</f>
        <v>—</v>
      </c>
    </row>
    <row r="25" customFormat="false" ht="15" hidden="false" customHeight="true" outlineLevel="0" collapsed="false">
      <c r="A25" s="1" t="n">
        <v>21</v>
      </c>
      <c r="B25" s="32" t="n">
        <f aca="false">EDATE(1_Accueil_Parametres!$B$14,21)</f>
        <v>46692</v>
      </c>
      <c r="C25" s="33" t="n">
        <f aca="false">IF(AND(A25&gt;1_Accueil_Parametres!$B$20,A25&lt;=1_Accueil_Parametres!$B$17),6_Plan_Financement!$B$8/MAX(1_Accueil_Parametres!$B$17-1_Accueil_Parametres!$B$20,1),0)</f>
        <v>0</v>
      </c>
      <c r="D25" s="33" t="n">
        <f aca="false">IF(OR(A25&lt;=1_Accueil_Parametres!$B$20,A25&gt;1_Accueil_Parametres!$B$17),0,F24*1_Accueil_Parametres!$B$16/12+IF(A25=1_Accueil_Parametres!$B$20+1,6_Plan_Financement!$B$8*1_Accueil_Parametres!$B$16/12*1_Accueil_Parametres!$B$20,0))</f>
        <v>0</v>
      </c>
      <c r="E25" s="33" t="n">
        <f aca="false">C25+D25</f>
        <v>0</v>
      </c>
      <c r="F25" s="33" t="n">
        <f aca="false">F24-C25</f>
        <v>0</v>
      </c>
      <c r="G25" s="1" t="str">
        <f aca="false">IF(A25&gt;1_Accueil_Parametres!$B$17,"—",IF(A25&lt;=1_Accueil_Parametres!$B$20,"Différé — intérêts capitalisés","Ventes du cycle"))</f>
        <v>—</v>
      </c>
      <c r="H25" s="1" t="str">
        <f aca="false">IF(A25&gt;1_Accueil_Parametres!$B$17,"—","Prévu")</f>
        <v>—</v>
      </c>
    </row>
    <row r="26" customFormat="false" ht="15" hidden="false" customHeight="true" outlineLevel="0" collapsed="false">
      <c r="A26" s="1" t="n">
        <v>22</v>
      </c>
      <c r="B26" s="32" t="n">
        <f aca="false">EDATE(1_Accueil_Parametres!$B$14,22)</f>
        <v>46722</v>
      </c>
      <c r="C26" s="33" t="n">
        <f aca="false">IF(AND(A26&gt;1_Accueil_Parametres!$B$20,A26&lt;=1_Accueil_Parametres!$B$17),6_Plan_Financement!$B$8/MAX(1_Accueil_Parametres!$B$17-1_Accueil_Parametres!$B$20,1),0)</f>
        <v>0</v>
      </c>
      <c r="D26" s="33" t="n">
        <f aca="false">IF(OR(A26&lt;=1_Accueil_Parametres!$B$20,A26&gt;1_Accueil_Parametres!$B$17),0,F25*1_Accueil_Parametres!$B$16/12+IF(A26=1_Accueil_Parametres!$B$20+1,6_Plan_Financement!$B$8*1_Accueil_Parametres!$B$16/12*1_Accueil_Parametres!$B$20,0))</f>
        <v>0</v>
      </c>
      <c r="E26" s="33" t="n">
        <f aca="false">C26+D26</f>
        <v>0</v>
      </c>
      <c r="F26" s="33" t="n">
        <f aca="false">F25-C26</f>
        <v>0</v>
      </c>
      <c r="G26" s="1" t="str">
        <f aca="false">IF(A26&gt;1_Accueil_Parametres!$B$17,"—",IF(A26&lt;=1_Accueil_Parametres!$B$20,"Différé — intérêts capitalisés","Ventes du cycle"))</f>
        <v>—</v>
      </c>
      <c r="H26" s="1" t="str">
        <f aca="false">IF(A26&gt;1_Accueil_Parametres!$B$17,"—","Prévu")</f>
        <v>—</v>
      </c>
    </row>
    <row r="27" customFormat="false" ht="15" hidden="false" customHeight="true" outlineLevel="0" collapsed="false">
      <c r="A27" s="1" t="n">
        <v>23</v>
      </c>
      <c r="B27" s="32" t="n">
        <f aca="false">EDATE(1_Accueil_Parametres!$B$14,23)</f>
        <v>46753</v>
      </c>
      <c r="C27" s="33" t="n">
        <f aca="false">IF(AND(A27&gt;1_Accueil_Parametres!$B$20,A27&lt;=1_Accueil_Parametres!$B$17),6_Plan_Financement!$B$8/MAX(1_Accueil_Parametres!$B$17-1_Accueil_Parametres!$B$20,1),0)</f>
        <v>0</v>
      </c>
      <c r="D27" s="33" t="n">
        <f aca="false">IF(OR(A27&lt;=1_Accueil_Parametres!$B$20,A27&gt;1_Accueil_Parametres!$B$17),0,F26*1_Accueil_Parametres!$B$16/12+IF(A27=1_Accueil_Parametres!$B$20+1,6_Plan_Financement!$B$8*1_Accueil_Parametres!$B$16/12*1_Accueil_Parametres!$B$20,0))</f>
        <v>0</v>
      </c>
      <c r="E27" s="33" t="n">
        <f aca="false">C27+D27</f>
        <v>0</v>
      </c>
      <c r="F27" s="33" t="n">
        <f aca="false">F26-C27</f>
        <v>0</v>
      </c>
      <c r="G27" s="1" t="str">
        <f aca="false">IF(A27&gt;1_Accueil_Parametres!$B$17,"—",IF(A27&lt;=1_Accueil_Parametres!$B$20,"Différé — intérêts capitalisés","Ventes du cycle"))</f>
        <v>—</v>
      </c>
      <c r="H27" s="1" t="str">
        <f aca="false">IF(A27&gt;1_Accueil_Parametres!$B$17,"—","Prévu")</f>
        <v>—</v>
      </c>
    </row>
    <row r="28" customFormat="false" ht="15" hidden="false" customHeight="true" outlineLevel="0" collapsed="false">
      <c r="A28" s="1" t="n">
        <v>24</v>
      </c>
      <c r="B28" s="32" t="n">
        <f aca="false">EDATE(1_Accueil_Parametres!$B$14,24)</f>
        <v>46784</v>
      </c>
      <c r="C28" s="33" t="n">
        <f aca="false">IF(AND(A28&gt;1_Accueil_Parametres!$B$20,A28&lt;=1_Accueil_Parametres!$B$17),6_Plan_Financement!$B$8/MAX(1_Accueil_Parametres!$B$17-1_Accueil_Parametres!$B$20,1),0)</f>
        <v>0</v>
      </c>
      <c r="D28" s="33" t="n">
        <f aca="false">IF(OR(A28&lt;=1_Accueil_Parametres!$B$20,A28&gt;1_Accueil_Parametres!$B$17),0,F27*1_Accueil_Parametres!$B$16/12+IF(A28=1_Accueil_Parametres!$B$20+1,6_Plan_Financement!$B$8*1_Accueil_Parametres!$B$16/12*1_Accueil_Parametres!$B$20,0))</f>
        <v>0</v>
      </c>
      <c r="E28" s="33" t="n">
        <f aca="false">C28+D28</f>
        <v>0</v>
      </c>
      <c r="F28" s="33" t="n">
        <f aca="false">F27-C28</f>
        <v>0</v>
      </c>
      <c r="G28" s="1" t="str">
        <f aca="false">IF(A28&gt;1_Accueil_Parametres!$B$17,"—",IF(A28&lt;=1_Accueil_Parametres!$B$20,"Différé — intérêts capitalisés","Ventes du cycle"))</f>
        <v>—</v>
      </c>
      <c r="H28" s="1" t="str">
        <f aca="false">IF(A28&gt;1_Accueil_Parametres!$B$17,"—","Prévu")</f>
        <v>—</v>
      </c>
    </row>
    <row r="29" customFormat="false" ht="15" hidden="false" customHeight="true" outlineLevel="0" collapsed="false">
      <c r="B29" s="4" t="s">
        <v>237</v>
      </c>
      <c r="C29" s="8" t="n">
        <f aca="false">SUM(C5:C28)</f>
        <v>4751</v>
      </c>
      <c r="D29" s="8" t="n">
        <f aca="false">SUM(D5:D28)</f>
        <v>641.385</v>
      </c>
      <c r="E29" s="8" t="n">
        <f aca="false">SUM(E5:E28)</f>
        <v>5392.385</v>
      </c>
      <c r="G29" s="1" t="s">
        <v>238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18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239</v>
      </c>
      <c r="B1" s="2"/>
      <c r="C1" s="2"/>
      <c r="D1" s="2"/>
      <c r="E1" s="2"/>
      <c r="F1" s="2"/>
    </row>
    <row r="4" customFormat="false" ht="15" hidden="false" customHeight="true" outlineLevel="0" collapsed="false">
      <c r="A4" s="4" t="s">
        <v>240</v>
      </c>
      <c r="B4" s="4" t="s">
        <v>241</v>
      </c>
      <c r="C4" s="4" t="s">
        <v>242</v>
      </c>
      <c r="D4" s="4" t="s">
        <v>243</v>
      </c>
    </row>
    <row r="5" customFormat="false" ht="15" hidden="false" customHeight="true" outlineLevel="0" collapsed="false">
      <c r="A5" s="6" t="s">
        <v>244</v>
      </c>
      <c r="B5" s="35" t="n">
        <v>0.25</v>
      </c>
      <c r="C5" s="36" t="n">
        <f aca="false">(COUNTIF(18_Controles_Vraisemblance!H5:H10,"OK")+COUNTIF(18_Controles_Vraisemblance!H5:H10,"Justifié"))/6*100</f>
        <v>83.3333333333333</v>
      </c>
      <c r="D5" s="36" t="n">
        <f aca="false">B5*C5</f>
        <v>20.8333333333333</v>
      </c>
    </row>
    <row r="6" customFormat="false" ht="15" hidden="false" customHeight="true" outlineLevel="0" collapsed="false">
      <c r="A6" s="6" t="s">
        <v>245</v>
      </c>
      <c r="B6" s="35" t="n">
        <v>0.2</v>
      </c>
      <c r="C6" s="36" t="n">
        <f aca="false">MAX(0,MIN(100,(10_Capacite_Remboursement!B12-0.8)/0.8*100))</f>
        <v>38.2505143827824</v>
      </c>
      <c r="D6" s="36" t="n">
        <f aca="false">B6*C6</f>
        <v>7.65010287655648</v>
      </c>
    </row>
    <row r="7" customFormat="false" ht="15" hidden="false" customHeight="true" outlineLevel="0" collapsed="false">
      <c r="A7" s="6" t="s">
        <v>246</v>
      </c>
      <c r="B7" s="35" t="n">
        <v>0.1</v>
      </c>
      <c r="C7" s="36" t="n">
        <f aca="false">MAX(0,MIN(100,(17_Sensibilite_StressTest!B16-0.6)/0.6*100))</f>
        <v>0</v>
      </c>
      <c r="D7" s="36" t="n">
        <f aca="false">B7*C7</f>
        <v>0</v>
      </c>
    </row>
    <row r="8" customFormat="false" ht="15" hidden="false" customHeight="true" outlineLevel="0" collapsed="false">
      <c r="A8" s="6" t="s">
        <v>247</v>
      </c>
      <c r="B8" s="35" t="n">
        <v>0.3</v>
      </c>
      <c r="C8" s="7" t="n">
        <v>50</v>
      </c>
      <c r="D8" s="36" t="n">
        <f aca="false">B8*C8</f>
        <v>15</v>
      </c>
    </row>
    <row r="9" customFormat="false" ht="15" hidden="false" customHeight="true" outlineLevel="0" collapsed="false">
      <c r="A9" s="6" t="s">
        <v>248</v>
      </c>
      <c r="B9" s="35" t="n">
        <v>0.15</v>
      </c>
      <c r="C9" s="36" t="n">
        <f aca="false">MAX(0,MIN(100,15_Garanties_Collateraux!B14*100))</f>
        <v>100</v>
      </c>
      <c r="D9" s="36" t="n">
        <f aca="false">B9*C9</f>
        <v>15</v>
      </c>
    </row>
    <row r="10" customFormat="false" ht="15" hidden="false" customHeight="true" outlineLevel="0" collapsed="false">
      <c r="A10" s="4" t="s">
        <v>249</v>
      </c>
      <c r="B10" s="37" t="n">
        <f aca="false">SUM(B5:B9)</f>
        <v>1</v>
      </c>
      <c r="C10" s="12"/>
      <c r="D10" s="36" t="n">
        <f aca="false">SUM(D5:D9)</f>
        <v>58.4834362098898</v>
      </c>
      <c r="E10" s="1" t="str">
        <f aca="false">IF(B10=1,"","⚠ Les pondérations doivent totaliser 100 %")</f>
        <v/>
      </c>
    </row>
    <row r="11" customFormat="false" ht="15" hidden="false" customHeight="true" outlineLevel="0" collapsed="false">
      <c r="A11" s="6" t="s">
        <v>250</v>
      </c>
      <c r="B11" s="27" t="str">
        <f aca="false">IF(AND(D10&gt;=1_Accueil_Parametres!B25,10_Capacite_Remboursement!B12&gt;=1_Accueil_Parametres!B22,17_Sensibilite_StressTest!B16&gt;=1_Accueil_Parametres!B23),"Favorable",IF(D10&gt;=55,"Favorable sous conditions","À instruire / défavorable en l'état"))</f>
        <v>Favorable sous conditions</v>
      </c>
      <c r="C11" s="12"/>
    </row>
    <row r="12" customFormat="false" ht="15" hidden="false" customHeight="true" outlineLevel="0" collapsed="false">
      <c r="A12" s="1" t="s">
        <v>251</v>
      </c>
      <c r="B12" s="37" t="n">
        <f aca="false">15_Garanties_Collateraux!B14</f>
        <v>2.64409903966427</v>
      </c>
      <c r="C12" s="1" t="s">
        <v>252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24"/>
    <col collapsed="false" customWidth="true" hidden="false" outlineLevel="0" max="5" min="5" style="1" width="18"/>
    <col collapsed="false" customWidth="true" hidden="false" outlineLevel="0" max="6" min="6" style="1" width="9"/>
    <col collapsed="false" customWidth="true" hidden="false" outlineLevel="0" max="7" min="7" style="1" width="20"/>
    <col collapsed="false" customWidth="true" hidden="false" outlineLevel="0" max="8" min="8" style="1" width="28"/>
    <col collapsed="false" customWidth="true" hidden="false" outlineLevel="0" max="9" min="9" style="1" width="22"/>
    <col collapsed="false" customWidth="true" hidden="false" outlineLevel="0" max="10" min="10" style="1" width="26"/>
  </cols>
  <sheetData>
    <row r="1" customFormat="false" ht="17.25" hidden="false" customHeight="true" outlineLevel="0" collapsed="false">
      <c r="A1" s="38" t="s">
        <v>253</v>
      </c>
    </row>
    <row r="2" customFormat="false" ht="15" hidden="false" customHeight="true" outlineLevel="0" collapsed="false">
      <c r="A2" s="1" t="s">
        <v>254</v>
      </c>
    </row>
    <row r="4" customFormat="false" ht="27.75" hidden="false" customHeight="true" outlineLevel="0" collapsed="false">
      <c r="A4" s="4" t="s">
        <v>89</v>
      </c>
      <c r="B4" s="4" t="s">
        <v>255</v>
      </c>
      <c r="C4" s="4" t="s">
        <v>256</v>
      </c>
      <c r="D4" s="4" t="s">
        <v>257</v>
      </c>
      <c r="E4" s="4" t="s">
        <v>258</v>
      </c>
      <c r="F4" s="4" t="s">
        <v>259</v>
      </c>
      <c r="G4" s="4" t="s">
        <v>260</v>
      </c>
      <c r="H4" s="4" t="s">
        <v>261</v>
      </c>
      <c r="I4" s="4" t="s">
        <v>262</v>
      </c>
      <c r="J4" s="4" t="s">
        <v>263</v>
      </c>
    </row>
    <row r="5" customFormat="false" ht="15" hidden="false" customHeight="true" outlineLevel="0" collapsed="false">
      <c r="A5" s="1" t="n">
        <v>1</v>
      </c>
      <c r="B5" s="7" t="s">
        <v>264</v>
      </c>
      <c r="C5" s="7" t="s">
        <v>265</v>
      </c>
      <c r="D5" s="7" t="s">
        <v>266</v>
      </c>
      <c r="E5" s="39" t="n">
        <v>6500</v>
      </c>
      <c r="F5" s="35" t="n">
        <v>0.3</v>
      </c>
      <c r="G5" s="8" t="n">
        <f aca="false">E5*(1-F5)</f>
        <v>4550</v>
      </c>
      <c r="H5" s="7" t="s">
        <v>267</v>
      </c>
      <c r="I5" s="7" t="s">
        <v>268</v>
      </c>
      <c r="J5" s="7"/>
    </row>
    <row r="6" customFormat="false" ht="15" hidden="false" customHeight="true" outlineLevel="0" collapsed="false">
      <c r="A6" s="1" t="n">
        <v>2</v>
      </c>
      <c r="B6" s="7" t="s">
        <v>269</v>
      </c>
      <c r="C6" s="7" t="s">
        <v>270</v>
      </c>
      <c r="D6" s="7" t="s">
        <v>266</v>
      </c>
      <c r="E6" s="39" t="n">
        <v>5000</v>
      </c>
      <c r="F6" s="35" t="n">
        <v>0.4</v>
      </c>
      <c r="G6" s="8" t="n">
        <f aca="false">E6*(1-F6)</f>
        <v>3000</v>
      </c>
      <c r="H6" s="7" t="s">
        <v>271</v>
      </c>
      <c r="I6" s="7" t="s">
        <v>272</v>
      </c>
      <c r="J6" s="7"/>
    </row>
    <row r="7" customFormat="false" ht="15" hidden="false" customHeight="true" outlineLevel="0" collapsed="false">
      <c r="A7" s="1" t="n">
        <v>3</v>
      </c>
      <c r="B7" s="7" t="s">
        <v>273</v>
      </c>
      <c r="C7" s="7" t="s">
        <v>274</v>
      </c>
      <c r="D7" s="7" t="s">
        <v>275</v>
      </c>
      <c r="E7" s="39" t="n">
        <v>2000</v>
      </c>
      <c r="F7" s="35" t="n">
        <v>0.5</v>
      </c>
      <c r="G7" s="8" t="n">
        <f aca="false">E7*(1-F7)</f>
        <v>1000</v>
      </c>
      <c r="H7" s="7" t="s">
        <v>276</v>
      </c>
      <c r="I7" s="7" t="s">
        <v>277</v>
      </c>
      <c r="J7" s="7"/>
    </row>
    <row r="8" customFormat="false" ht="15" hidden="false" customHeight="true" outlineLevel="0" collapsed="false">
      <c r="A8" s="1" t="n">
        <v>4</v>
      </c>
      <c r="B8" s="7" t="s">
        <v>278</v>
      </c>
      <c r="C8" s="7" t="s">
        <v>279</v>
      </c>
      <c r="D8" s="7" t="s">
        <v>266</v>
      </c>
      <c r="E8" s="39" t="n">
        <v>210</v>
      </c>
      <c r="F8" s="35" t="n">
        <v>0.5</v>
      </c>
      <c r="G8" s="8" t="n">
        <f aca="false">E8*(1-F8)</f>
        <v>105</v>
      </c>
      <c r="H8" s="7" t="s">
        <v>280</v>
      </c>
      <c r="I8" s="7" t="s">
        <v>281</v>
      </c>
      <c r="J8" s="7"/>
    </row>
    <row r="9" customFormat="false" ht="15" hidden="false" customHeight="true" outlineLevel="0" collapsed="false">
      <c r="A9" s="1" t="n">
        <v>5</v>
      </c>
      <c r="B9" s="7" t="s">
        <v>282</v>
      </c>
      <c r="C9" s="7" t="s">
        <v>283</v>
      </c>
      <c r="D9" s="7" t="s">
        <v>266</v>
      </c>
      <c r="E9" s="39" t="n">
        <v>500</v>
      </c>
      <c r="F9" s="35" t="n">
        <v>0</v>
      </c>
      <c r="G9" s="8" t="n">
        <f aca="false">E9*(1-F9)</f>
        <v>500</v>
      </c>
      <c r="H9" s="7" t="s">
        <v>284</v>
      </c>
      <c r="I9" s="7" t="s">
        <v>285</v>
      </c>
      <c r="J9" s="7"/>
    </row>
    <row r="10" customFormat="false" ht="15" hidden="false" customHeight="true" outlineLevel="0" collapsed="false">
      <c r="A10" s="1" t="n">
        <v>6</v>
      </c>
      <c r="B10" s="7" t="s">
        <v>286</v>
      </c>
      <c r="C10" s="7" t="s">
        <v>287</v>
      </c>
      <c r="D10" s="7" t="s">
        <v>288</v>
      </c>
      <c r="E10" s="39" t="n">
        <f aca="false">8_Previsions_Ventes!G9*0.5</f>
        <v>5670</v>
      </c>
      <c r="F10" s="35" t="n">
        <v>0.1</v>
      </c>
      <c r="G10" s="8" t="n">
        <f aca="false">E10*(1-F10)</f>
        <v>5103</v>
      </c>
      <c r="H10" s="7" t="s">
        <v>289</v>
      </c>
      <c r="I10" s="7" t="s">
        <v>290</v>
      </c>
      <c r="J10" s="7"/>
    </row>
    <row r="11" customFormat="false" ht="15" hidden="false" customHeight="true" outlineLevel="0" collapsed="false">
      <c r="B11" s="4" t="s">
        <v>237</v>
      </c>
      <c r="E11" s="8" t="n">
        <f aca="false">SUM(E5:E10)</f>
        <v>19880</v>
      </c>
      <c r="G11" s="8" t="n">
        <f aca="false">SUM(G5:G10)</f>
        <v>14258</v>
      </c>
    </row>
    <row r="13" customFormat="false" ht="15" hidden="false" customHeight="true" outlineLevel="0" collapsed="false">
      <c r="A13" s="6" t="s">
        <v>215</v>
      </c>
      <c r="B13" s="8" t="n">
        <f aca="false">10_Capacite_Remboursement!B10</f>
        <v>5392.385</v>
      </c>
    </row>
    <row r="14" customFormat="false" ht="15" hidden="false" customHeight="true" outlineLevel="0" collapsed="false">
      <c r="A14" s="6" t="s">
        <v>291</v>
      </c>
      <c r="B14" s="37" t="n">
        <f aca="false">IFERROR(G11/B13,0)</f>
        <v>2.64409903966427</v>
      </c>
    </row>
    <row r="15" customFormat="false" ht="15" hidden="false" customHeight="true" outlineLevel="0" collapsed="false">
      <c r="A15" s="6" t="s">
        <v>292</v>
      </c>
      <c r="B15" s="27" t="str">
        <f aca="false">IF(B14&gt;=1,"Couverture suffisante",IF(B14&gt;=0.5,"Couverture partielle — pondérer avec le DSCR","Couverture faible — décision à appuyer sur la fiabilité technico-économique"))</f>
        <v>Couverture suffisante</v>
      </c>
    </row>
    <row r="17" customFormat="false" ht="15" hidden="false" customHeight="true" outlineLevel="0" collapsed="false">
      <c r="A17" s="1" t="s">
        <v>293</v>
      </c>
    </row>
  </sheetData>
  <dataValidations count="1">
    <dataValidation allowBlank="true" errorStyle="stop" operator="between" showDropDown="false" showErrorMessage="false" showInputMessage="false" sqref="F5:F10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19" min="2" style="1" width="11"/>
  </cols>
  <sheetData>
    <row r="1" customFormat="false" ht="17.25" hidden="false" customHeight="true" outlineLevel="0" collapsed="false">
      <c r="A1" s="38" t="s">
        <v>294</v>
      </c>
    </row>
    <row r="2" customFormat="false" ht="15" hidden="false" customHeight="true" outlineLevel="0" collapsed="false">
      <c r="A2" s="1" t="s">
        <v>295</v>
      </c>
    </row>
    <row r="4" customFormat="false" ht="27.75" hidden="false" customHeight="true" outlineLevel="0" collapsed="false">
      <c r="A4" s="4" t="s">
        <v>159</v>
      </c>
      <c r="B4" s="4" t="s">
        <v>296</v>
      </c>
      <c r="C4" s="4" t="s">
        <v>297</v>
      </c>
      <c r="D4" s="4" t="s">
        <v>298</v>
      </c>
      <c r="E4" s="4" t="s">
        <v>299</v>
      </c>
    </row>
    <row r="5" customFormat="false" ht="15" hidden="false" customHeight="true" outlineLevel="0" collapsed="false">
      <c r="A5" s="1" t="s">
        <v>72</v>
      </c>
      <c r="B5" s="8" t="n">
        <f aca="false">SUMIF(4_Besoins_Financiers!I:I,A5,4_Besoins_Financiers!H:H)</f>
        <v>3475</v>
      </c>
      <c r="C5" s="1" t="n">
        <f aca="false">3_Parametres_Techniques!B5</f>
        <v>1</v>
      </c>
      <c r="D5" s="1" t="n">
        <f aca="false">3_Parametres_Techniques!C5</f>
        <v>1</v>
      </c>
      <c r="E5" s="8" t="n">
        <f aca="false">IF(D5&gt;=C5,B5/(D5-C5+1),0)</f>
        <v>3475</v>
      </c>
    </row>
    <row r="6" customFormat="false" ht="15" hidden="false" customHeight="true" outlineLevel="0" collapsed="false">
      <c r="A6" s="1" t="s">
        <v>74</v>
      </c>
      <c r="B6" s="8" t="n">
        <f aca="false">SUMIF(4_Besoins_Financiers!I:I,A6,4_Besoins_Financiers!H:H)</f>
        <v>690</v>
      </c>
      <c r="C6" s="1" t="n">
        <f aca="false">3_Parametres_Techniques!B6</f>
        <v>1</v>
      </c>
      <c r="D6" s="1" t="n">
        <f aca="false">3_Parametres_Techniques!C6</f>
        <v>2</v>
      </c>
      <c r="E6" s="8" t="n">
        <f aca="false">IF(D6&gt;=C6,B6/(D6-C6+1),0)</f>
        <v>345</v>
      </c>
    </row>
    <row r="7" customFormat="false" ht="15" hidden="false" customHeight="true" outlineLevel="0" collapsed="false">
      <c r="A7" s="1" t="s">
        <v>76</v>
      </c>
      <c r="B7" s="8" t="n">
        <f aca="false">SUMIF(4_Besoins_Financiers!I:I,A7,4_Besoins_Financiers!H:H)</f>
        <v>500</v>
      </c>
      <c r="C7" s="1" t="n">
        <f aca="false">3_Parametres_Techniques!B7</f>
        <v>2</v>
      </c>
      <c r="D7" s="1" t="n">
        <f aca="false">3_Parametres_Techniques!C7</f>
        <v>10</v>
      </c>
      <c r="E7" s="8" t="n">
        <f aca="false">IF(D7&gt;=C7,B7/(D7-C7+1),0)</f>
        <v>55.5555555555556</v>
      </c>
    </row>
    <row r="8" customFormat="false" ht="15" hidden="false" customHeight="true" outlineLevel="0" collapsed="false">
      <c r="A8" s="1" t="s">
        <v>114</v>
      </c>
      <c r="B8" s="8" t="n">
        <f aca="false">SUMIF(4_Besoins_Financiers!I:I,A8,4_Besoins_Financiers!H:H)</f>
        <v>300</v>
      </c>
      <c r="C8" s="1" t="n">
        <f aca="false">3_Parametres_Techniques!B7</f>
        <v>2</v>
      </c>
      <c r="D8" s="1" t="n">
        <f aca="false">3_Parametres_Techniques!C7</f>
        <v>10</v>
      </c>
      <c r="E8" s="8" t="n">
        <f aca="false">IF(D8&gt;=C8,B8/(D8-C8+1),0)</f>
        <v>33.3333333333333</v>
      </c>
    </row>
    <row r="9" customFormat="false" ht="15" hidden="false" customHeight="true" outlineLevel="0" collapsed="false">
      <c r="A9" s="1" t="s">
        <v>78</v>
      </c>
      <c r="B9" s="8" t="n">
        <f aca="false">SUMIF(4_Besoins_Financiers!I:I,A9,4_Besoins_Financiers!H:H)</f>
        <v>336</v>
      </c>
      <c r="C9" s="1" t="n">
        <f aca="false">3_Parametres_Techniques!B8</f>
        <v>6</v>
      </c>
      <c r="D9" s="1" t="n">
        <f aca="false">3_Parametres_Techniques!C8</f>
        <v>6</v>
      </c>
      <c r="E9" s="8" t="n">
        <f aca="false">IF(D9&gt;=C9,B9/(D9-C9+1),0)</f>
        <v>336</v>
      </c>
    </row>
    <row r="10" customFormat="false" ht="15" hidden="false" customHeight="true" outlineLevel="0" collapsed="false">
      <c r="A10" s="1" t="s">
        <v>126</v>
      </c>
      <c r="B10" s="8" t="n">
        <f aca="false">SUMIF(4_Besoins_Financiers!I:I,A10,4_Besoins_Financiers!H:H)</f>
        <v>460</v>
      </c>
      <c r="C10" s="1" t="n">
        <f aca="false">3_Parametres_Techniques!B9</f>
        <v>6</v>
      </c>
      <c r="D10" s="1" t="n">
        <f aca="false">3_Parametres_Techniques!C9</f>
        <v>12</v>
      </c>
      <c r="E10" s="8" t="n">
        <f aca="false">IF(D10&gt;=C10,B10/(D10-C10+1),0)</f>
        <v>65.7142857142857</v>
      </c>
    </row>
    <row r="11" customFormat="false" ht="15" hidden="false" customHeight="true" outlineLevel="0" collapsed="false">
      <c r="A11" s="1" t="s">
        <v>82</v>
      </c>
      <c r="B11" s="8" t="n">
        <f aca="false">SUMIF(4_Besoins_Financiers!I:I,A11,4_Besoins_Financiers!H:H)</f>
        <v>660</v>
      </c>
      <c r="C11" s="1" t="n">
        <f aca="false">3_Parametres_Techniques!B10</f>
        <v>6</v>
      </c>
      <c r="D11" s="1" t="n">
        <f aca="false">3_Parametres_Techniques!C10</f>
        <v>12</v>
      </c>
      <c r="E11" s="8" t="n">
        <f aca="false">IF(D11&gt;=C11,B11/(D11-C11+1),0)</f>
        <v>94.2857142857143</v>
      </c>
    </row>
    <row r="12" customFormat="false" ht="15" hidden="false" customHeight="true" outlineLevel="0" collapsed="false">
      <c r="A12" s="1" t="s">
        <v>117</v>
      </c>
      <c r="B12" s="8" t="n">
        <f aca="false">SUMIF(4_Besoins_Financiers!I:I,A12,4_Besoins_Financiers!H:H)</f>
        <v>730</v>
      </c>
      <c r="C12" s="1" t="n">
        <f aca="false">1</f>
        <v>1</v>
      </c>
      <c r="D12" s="1" t="n">
        <f aca="false">1_Accueil_Parametres!B15</f>
        <v>12</v>
      </c>
      <c r="E12" s="8" t="n">
        <f aca="false">IF(D12&gt;=C12,B12/(D12-C12+1),0)</f>
        <v>60.8333333333333</v>
      </c>
    </row>
    <row r="14" customFormat="false" ht="15" hidden="false" customHeight="true" outlineLevel="0" collapsed="false">
      <c r="A14" s="4" t="s">
        <v>300</v>
      </c>
      <c r="B14" s="4" t="n">
        <v>1</v>
      </c>
      <c r="C14" s="4" t="n">
        <v>2</v>
      </c>
      <c r="D14" s="4" t="n">
        <v>3</v>
      </c>
      <c r="E14" s="4" t="n">
        <v>4</v>
      </c>
      <c r="F14" s="4" t="n">
        <v>5</v>
      </c>
      <c r="G14" s="4" t="n">
        <v>6</v>
      </c>
      <c r="H14" s="4" t="n">
        <v>7</v>
      </c>
      <c r="I14" s="4" t="n">
        <v>8</v>
      </c>
      <c r="J14" s="4" t="n">
        <v>9</v>
      </c>
      <c r="K14" s="4" t="n">
        <v>10</v>
      </c>
      <c r="L14" s="4" t="n">
        <v>11</v>
      </c>
      <c r="M14" s="4" t="n">
        <v>12</v>
      </c>
      <c r="N14" s="4" t="n">
        <v>13</v>
      </c>
      <c r="O14" s="4" t="n">
        <v>14</v>
      </c>
      <c r="P14" s="4" t="n">
        <v>15</v>
      </c>
      <c r="Q14" s="4" t="n">
        <v>16</v>
      </c>
      <c r="R14" s="4" t="n">
        <v>17</v>
      </c>
      <c r="S14" s="4" t="n">
        <v>18</v>
      </c>
    </row>
    <row r="15" customFormat="false" ht="15" hidden="false" customHeight="true" outlineLevel="0" collapsed="false">
      <c r="A15" s="1" t="s">
        <v>301</v>
      </c>
      <c r="B15" s="8" t="n">
        <f aca="false">SUMPRODUCT(($C$5:$C$12&lt;=B$14)*($D$5:$D$12&gt;=B$14)*$E$5:$E$12)</f>
        <v>3880.83333333333</v>
      </c>
      <c r="C15" s="8" t="n">
        <f aca="false">SUMPRODUCT(($C$5:$C$12&lt;=C$14)*($D$5:$D$12&gt;=C$14)*$E$5:$E$12)</f>
        <v>494.722222222222</v>
      </c>
      <c r="D15" s="8" t="n">
        <f aca="false">SUMPRODUCT(($C$5:$C$12&lt;=D$14)*($D$5:$D$12&gt;=D$14)*$E$5:$E$12)</f>
        <v>149.722222222222</v>
      </c>
      <c r="E15" s="8" t="n">
        <f aca="false">SUMPRODUCT(($C$5:$C$12&lt;=E$14)*($D$5:$D$12&gt;=E$14)*$E$5:$E$12)</f>
        <v>149.722222222222</v>
      </c>
      <c r="F15" s="8" t="n">
        <f aca="false">SUMPRODUCT(($C$5:$C$12&lt;=F$14)*($D$5:$D$12&gt;=F$14)*$E$5:$E$12)</f>
        <v>149.722222222222</v>
      </c>
      <c r="G15" s="8" t="n">
        <f aca="false">SUMPRODUCT(($C$5:$C$12&lt;=G$14)*($D$5:$D$12&gt;=G$14)*$E$5:$E$12)</f>
        <v>645.722222222222</v>
      </c>
      <c r="H15" s="8" t="n">
        <f aca="false">SUMPRODUCT(($C$5:$C$12&lt;=H$14)*($D$5:$D$12&gt;=H$14)*$E$5:$E$12)</f>
        <v>309.722222222222</v>
      </c>
      <c r="I15" s="8" t="n">
        <f aca="false">SUMPRODUCT(($C$5:$C$12&lt;=I$14)*($D$5:$D$12&gt;=I$14)*$E$5:$E$12)</f>
        <v>309.722222222222</v>
      </c>
      <c r="J15" s="8" t="n">
        <f aca="false">SUMPRODUCT(($C$5:$C$12&lt;=J$14)*($D$5:$D$12&gt;=J$14)*$E$5:$E$12)</f>
        <v>309.722222222222</v>
      </c>
      <c r="K15" s="8" t="n">
        <f aca="false">SUMPRODUCT(($C$5:$C$12&lt;=K$14)*($D$5:$D$12&gt;=K$14)*$E$5:$E$12)</f>
        <v>309.722222222222</v>
      </c>
      <c r="L15" s="8" t="n">
        <f aca="false">SUMPRODUCT(($C$5:$C$12&lt;=L$14)*($D$5:$D$12&gt;=L$14)*$E$5:$E$12)</f>
        <v>220.833333333333</v>
      </c>
      <c r="M15" s="8" t="n">
        <f aca="false">SUMPRODUCT(($C$5:$C$12&lt;=M$14)*($D$5:$D$12&gt;=M$14)*$E$5:$E$12)</f>
        <v>220.833333333333</v>
      </c>
      <c r="N15" s="8" t="n">
        <f aca="false">SUMPRODUCT(($C$5:$C$12&lt;=N$14)*($D$5:$D$12&gt;=N$14)*$E$5:$E$12)</f>
        <v>0</v>
      </c>
      <c r="O15" s="8" t="n">
        <f aca="false">SUMPRODUCT(($C$5:$C$12&lt;=O$14)*($D$5:$D$12&gt;=O$14)*$E$5:$E$12)</f>
        <v>0</v>
      </c>
      <c r="P15" s="8" t="n">
        <f aca="false">SUMPRODUCT(($C$5:$C$12&lt;=P$14)*($D$5:$D$12&gt;=P$14)*$E$5:$E$12)</f>
        <v>0</v>
      </c>
      <c r="Q15" s="8" t="n">
        <f aca="false">SUMPRODUCT(($C$5:$C$12&lt;=Q$14)*($D$5:$D$12&gt;=Q$14)*$E$5:$E$12)</f>
        <v>0</v>
      </c>
      <c r="R15" s="8" t="n">
        <f aca="false">SUMPRODUCT(($C$5:$C$12&lt;=R$14)*($D$5:$D$12&gt;=R$14)*$E$5:$E$12)</f>
        <v>0</v>
      </c>
      <c r="S15" s="8" t="n">
        <f aca="false">SUMPRODUCT(($C$5:$C$12&lt;=S$14)*($D$5:$D$12&gt;=S$14)*$E$5:$E$12)</f>
        <v>0</v>
      </c>
    </row>
    <row r="16" customFormat="false" ht="15" hidden="false" customHeight="true" outlineLevel="0" collapsed="false">
      <c r="A16" s="1" t="s">
        <v>302</v>
      </c>
      <c r="B16" s="8" t="n">
        <f aca="false">SUMIF(8_Previsions_Ventes!$H$5:$H$8,B$14,8_Previsions_Ventes!$G$5:$G$8)</f>
        <v>0</v>
      </c>
      <c r="C16" s="8" t="n">
        <f aca="false">SUMIF(8_Previsions_Ventes!$H$5:$H$8,C$14,8_Previsions_Ventes!$G$5:$G$8)</f>
        <v>0</v>
      </c>
      <c r="D16" s="8" t="n">
        <f aca="false">SUMIF(8_Previsions_Ventes!$H$5:$H$8,D$14,8_Previsions_Ventes!$G$5:$G$8)</f>
        <v>0</v>
      </c>
      <c r="E16" s="8" t="n">
        <f aca="false">SUMIF(8_Previsions_Ventes!$H$5:$H$8,E$14,8_Previsions_Ventes!$G$5:$G$8)</f>
        <v>0</v>
      </c>
      <c r="F16" s="8" t="n">
        <f aca="false">SUMIF(8_Previsions_Ventes!$H$5:$H$8,F$14,8_Previsions_Ventes!$G$5:$G$8)</f>
        <v>0</v>
      </c>
      <c r="G16" s="8" t="n">
        <f aca="false">SUMIF(8_Previsions_Ventes!$H$5:$H$8,G$14,8_Previsions_Ventes!$G$5:$G$8)</f>
        <v>8100</v>
      </c>
      <c r="H16" s="8" t="n">
        <f aca="false">SUMIF(8_Previsions_Ventes!$H$5:$H$8,H$14,8_Previsions_Ventes!$G$5:$G$8)</f>
        <v>0</v>
      </c>
      <c r="I16" s="8" t="n">
        <f aca="false">SUMIF(8_Previsions_Ventes!$H$5:$H$8,I$14,8_Previsions_Ventes!$G$5:$G$8)</f>
        <v>0</v>
      </c>
      <c r="J16" s="8" t="n">
        <f aca="false">SUMIF(8_Previsions_Ventes!$H$5:$H$8,J$14,8_Previsions_Ventes!$G$5:$G$8)</f>
        <v>0</v>
      </c>
      <c r="K16" s="8" t="n">
        <f aca="false">SUMIF(8_Previsions_Ventes!$H$5:$H$8,K$14,8_Previsions_Ventes!$G$5:$G$8)</f>
        <v>0</v>
      </c>
      <c r="L16" s="8" t="n">
        <f aca="false">SUMIF(8_Previsions_Ventes!$H$5:$H$8,L$14,8_Previsions_Ventes!$G$5:$G$8)</f>
        <v>0</v>
      </c>
      <c r="M16" s="8" t="n">
        <f aca="false">SUMIF(8_Previsions_Ventes!$H$5:$H$8,M$14,8_Previsions_Ventes!$G$5:$G$8)</f>
        <v>3240</v>
      </c>
      <c r="N16" s="8" t="n">
        <f aca="false">SUMIF(8_Previsions_Ventes!$H$5:$H$8,N$14,8_Previsions_Ventes!$G$5:$G$8)</f>
        <v>0</v>
      </c>
      <c r="O16" s="8" t="n">
        <f aca="false">SUMIF(8_Previsions_Ventes!$H$5:$H$8,O$14,8_Previsions_Ventes!$G$5:$G$8)</f>
        <v>0</v>
      </c>
      <c r="P16" s="8" t="n">
        <f aca="false">SUMIF(8_Previsions_Ventes!$H$5:$H$8,P$14,8_Previsions_Ventes!$G$5:$G$8)</f>
        <v>0</v>
      </c>
      <c r="Q16" s="8" t="n">
        <f aca="false">SUMIF(8_Previsions_Ventes!$H$5:$H$8,Q$14,8_Previsions_Ventes!$G$5:$G$8)</f>
        <v>0</v>
      </c>
      <c r="R16" s="8" t="n">
        <f aca="false">SUMIF(8_Previsions_Ventes!$H$5:$H$8,R$14,8_Previsions_Ventes!$G$5:$G$8)</f>
        <v>0</v>
      </c>
      <c r="S16" s="8" t="n">
        <f aca="false">SUMIF(8_Previsions_Ventes!$H$5:$H$8,S$14,8_Previsions_Ventes!$G$5:$G$8)</f>
        <v>0</v>
      </c>
    </row>
    <row r="17" customFormat="false" ht="15" hidden="false" customHeight="true" outlineLevel="0" collapsed="false">
      <c r="A17" s="1" t="s">
        <v>303</v>
      </c>
      <c r="B17" s="8" t="n">
        <f aca="false">IF(B$14=1,6_Plan_Financement!$B$7,0)</f>
        <v>2400</v>
      </c>
      <c r="C17" s="8" t="n">
        <f aca="false">IF(C$14=1,6_Plan_Financement!$B$7,0)</f>
        <v>0</v>
      </c>
      <c r="D17" s="8" t="n">
        <f aca="false">IF(D$14=1,6_Plan_Financement!$B$7,0)</f>
        <v>0</v>
      </c>
      <c r="E17" s="8" t="n">
        <f aca="false">IF(E$14=1,6_Plan_Financement!$B$7,0)</f>
        <v>0</v>
      </c>
      <c r="F17" s="8" t="n">
        <f aca="false">IF(F$14=1,6_Plan_Financement!$B$7,0)</f>
        <v>0</v>
      </c>
      <c r="G17" s="8" t="n">
        <f aca="false">IF(G$14=1,6_Plan_Financement!$B$7,0)</f>
        <v>0</v>
      </c>
      <c r="H17" s="8" t="n">
        <f aca="false">IF(H$14=1,6_Plan_Financement!$B$7,0)</f>
        <v>0</v>
      </c>
      <c r="I17" s="8" t="n">
        <f aca="false">IF(I$14=1,6_Plan_Financement!$B$7,0)</f>
        <v>0</v>
      </c>
      <c r="J17" s="8" t="n">
        <f aca="false">IF(J$14=1,6_Plan_Financement!$B$7,0)</f>
        <v>0</v>
      </c>
      <c r="K17" s="8" t="n">
        <f aca="false">IF(K$14=1,6_Plan_Financement!$B$7,0)</f>
        <v>0</v>
      </c>
      <c r="L17" s="8" t="n">
        <f aca="false">IF(L$14=1,6_Plan_Financement!$B$7,0)</f>
        <v>0</v>
      </c>
      <c r="M17" s="8" t="n">
        <f aca="false">IF(M$14=1,6_Plan_Financement!$B$7,0)</f>
        <v>0</v>
      </c>
      <c r="N17" s="8" t="n">
        <f aca="false">IF(N$14=1,6_Plan_Financement!$B$7,0)</f>
        <v>0</v>
      </c>
      <c r="O17" s="8" t="n">
        <f aca="false">IF(O$14=1,6_Plan_Financement!$B$7,0)</f>
        <v>0</v>
      </c>
      <c r="P17" s="8" t="n">
        <f aca="false">IF(P$14=1,6_Plan_Financement!$B$7,0)</f>
        <v>0</v>
      </c>
      <c r="Q17" s="8" t="n">
        <f aca="false">IF(Q$14=1,6_Plan_Financement!$B$7,0)</f>
        <v>0</v>
      </c>
      <c r="R17" s="8" t="n">
        <f aca="false">IF(R$14=1,6_Plan_Financement!$B$7,0)</f>
        <v>0</v>
      </c>
      <c r="S17" s="8" t="n">
        <f aca="false">IF(S$14=1,6_Plan_Financement!$B$7,0)</f>
        <v>0</v>
      </c>
    </row>
    <row r="18" customFormat="false" ht="15" hidden="false" customHeight="true" outlineLevel="0" collapsed="false">
      <c r="A18" s="1" t="s">
        <v>304</v>
      </c>
      <c r="B18" s="8" t="n">
        <f aca="false">B16+B17-B15</f>
        <v>-1480.83333333333</v>
      </c>
      <c r="C18" s="8" t="n">
        <f aca="false">C16+C17-C15</f>
        <v>-494.722222222222</v>
      </c>
      <c r="D18" s="8" t="n">
        <f aca="false">D16+D17-D15</f>
        <v>-149.722222222222</v>
      </c>
      <c r="E18" s="8" t="n">
        <f aca="false">E16+E17-E15</f>
        <v>-149.722222222222</v>
      </c>
      <c r="F18" s="8" t="n">
        <f aca="false">F16+F17-F15</f>
        <v>-149.722222222222</v>
      </c>
      <c r="G18" s="8" t="n">
        <f aca="false">G16+G17-G15</f>
        <v>7454.27777777778</v>
      </c>
      <c r="H18" s="8" t="n">
        <f aca="false">H16+H17-H15</f>
        <v>-309.722222222222</v>
      </c>
      <c r="I18" s="8" t="n">
        <f aca="false">I16+I17-I15</f>
        <v>-309.722222222222</v>
      </c>
      <c r="J18" s="8" t="n">
        <f aca="false">J16+J17-J15</f>
        <v>-309.722222222222</v>
      </c>
      <c r="K18" s="8" t="n">
        <f aca="false">K16+K17-K15</f>
        <v>-309.722222222222</v>
      </c>
      <c r="L18" s="8" t="n">
        <f aca="false">L16+L17-L15</f>
        <v>-220.833333333333</v>
      </c>
      <c r="M18" s="8" t="n">
        <f aca="false">M16+M17-M15</f>
        <v>3019.16666666667</v>
      </c>
      <c r="N18" s="8" t="n">
        <f aca="false">N16+N17-N15</f>
        <v>0</v>
      </c>
      <c r="O18" s="8" t="n">
        <f aca="false">O16+O17-O15</f>
        <v>0</v>
      </c>
      <c r="P18" s="8" t="n">
        <f aca="false">P16+P17-P15</f>
        <v>0</v>
      </c>
      <c r="Q18" s="8" t="n">
        <f aca="false">Q16+Q17-Q15</f>
        <v>0</v>
      </c>
      <c r="R18" s="8" t="n">
        <f aca="false">R16+R17-R15</f>
        <v>0</v>
      </c>
      <c r="S18" s="8" t="n">
        <f aca="false">S16+S17-S15</f>
        <v>0</v>
      </c>
    </row>
    <row r="19" customFormat="false" ht="15" hidden="false" customHeight="true" outlineLevel="0" collapsed="false">
      <c r="A19" s="1" t="s">
        <v>305</v>
      </c>
      <c r="B19" s="8" t="n">
        <f aca="false">B18</f>
        <v>-1480.83333333333</v>
      </c>
      <c r="C19" s="8" t="n">
        <f aca="false">B19+C18</f>
        <v>-1975.55555555556</v>
      </c>
      <c r="D19" s="8" t="n">
        <f aca="false">C19+D18</f>
        <v>-2125.27777777778</v>
      </c>
      <c r="E19" s="8" t="n">
        <f aca="false">D19+E18</f>
        <v>-2275</v>
      </c>
      <c r="F19" s="8" t="n">
        <f aca="false">E19+F18</f>
        <v>-2424.72222222222</v>
      </c>
      <c r="G19" s="8" t="n">
        <f aca="false">F19+G18</f>
        <v>5029.55555555556</v>
      </c>
      <c r="H19" s="8" t="n">
        <f aca="false">G19+H18</f>
        <v>4719.83333333333</v>
      </c>
      <c r="I19" s="8" t="n">
        <f aca="false">H19+I18</f>
        <v>4410.11111111111</v>
      </c>
      <c r="J19" s="8" t="n">
        <f aca="false">I19+J18</f>
        <v>4100.38888888889</v>
      </c>
      <c r="K19" s="8" t="n">
        <f aca="false">J19+K18</f>
        <v>3790.66666666666</v>
      </c>
      <c r="L19" s="8" t="n">
        <f aca="false">K19+L18</f>
        <v>3569.83333333333</v>
      </c>
      <c r="M19" s="8" t="n">
        <f aca="false">L19+M18</f>
        <v>6589</v>
      </c>
      <c r="N19" s="8" t="n">
        <f aca="false">M19+N18</f>
        <v>6589</v>
      </c>
      <c r="O19" s="8" t="n">
        <f aca="false">N19+O18</f>
        <v>6589</v>
      </c>
      <c r="P19" s="8" t="n">
        <f aca="false">O19+P18</f>
        <v>6589</v>
      </c>
      <c r="Q19" s="8" t="n">
        <f aca="false">P19+Q18</f>
        <v>6589</v>
      </c>
      <c r="R19" s="8" t="n">
        <f aca="false">Q19+R18</f>
        <v>6589</v>
      </c>
      <c r="S19" s="8" t="n">
        <f aca="false">R19+S18</f>
        <v>6589</v>
      </c>
    </row>
    <row r="21" customFormat="false" ht="15" hidden="false" customHeight="true" outlineLevel="0" collapsed="false">
      <c r="A21" s="6" t="s">
        <v>306</v>
      </c>
      <c r="B21" s="8" t="n">
        <f aca="false">MAX(0,-MIN(B19:S19))</f>
        <v>2424.72222222222</v>
      </c>
    </row>
    <row r="22" customFormat="false" ht="15" hidden="false" customHeight="true" outlineLevel="0" collapsed="false">
      <c r="A22" s="1" t="s">
        <v>307</v>
      </c>
      <c r="B22" s="8" t="n">
        <f aca="false">6_Plan_Financement!B8</f>
        <v>4751</v>
      </c>
    </row>
    <row r="23" customFormat="false" ht="15" hidden="false" customHeight="true" outlineLevel="0" collapsed="false">
      <c r="A23" s="1" t="s">
        <v>308</v>
      </c>
      <c r="B23" s="8" t="n">
        <f aca="false">MAX(0,B22-B21)</f>
        <v>2326.27777777778</v>
      </c>
    </row>
    <row r="24" customFormat="false" ht="15" hidden="false" customHeight="true" outlineLevel="0" collapsed="false">
      <c r="A24" s="1" t="s">
        <v>309</v>
      </c>
      <c r="B24" s="1" t="str">
        <f aca="false">IF(B21&lt;B22,"Pic de trésorerie inférieur au crédit calculé : réduire le montant ou resserrer les tranches de décaissement.","Crédit aligné sur le besoin réel de trésorerie.")</f>
        <v>Pic de trésorerie inférieur au crédit calculé : réduire le montant ou resserrer les tranches de décaissement.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6" min="2" style="1" width="16"/>
    <col collapsed="false" customWidth="true" hidden="false" outlineLevel="0" max="7" min="7" style="1" width="12"/>
  </cols>
  <sheetData>
    <row r="1" customFormat="false" ht="17.25" hidden="false" customHeight="true" outlineLevel="0" collapsed="false">
      <c r="A1" s="38" t="s">
        <v>310</v>
      </c>
    </row>
    <row r="2" customFormat="false" ht="15" hidden="false" customHeight="true" outlineLevel="0" collapsed="false">
      <c r="A2" s="1" t="s">
        <v>311</v>
      </c>
    </row>
    <row r="4" customFormat="false" ht="15" hidden="false" customHeight="true" outlineLevel="0" collapsed="false">
      <c r="A4" s="4" t="s">
        <v>312</v>
      </c>
      <c r="B4" s="4" t="s">
        <v>313</v>
      </c>
    </row>
    <row r="5" customFormat="false" ht="15" hidden="false" customHeight="true" outlineLevel="0" collapsed="false">
      <c r="A5" s="1" t="s">
        <v>314</v>
      </c>
      <c r="B5" s="35" t="n">
        <v>0.2</v>
      </c>
    </row>
    <row r="6" customFormat="false" ht="15" hidden="false" customHeight="true" outlineLevel="0" collapsed="false">
      <c r="A6" s="1" t="s">
        <v>315</v>
      </c>
      <c r="B6" s="35" t="n">
        <v>0.15</v>
      </c>
    </row>
    <row r="7" customFormat="false" ht="15" hidden="false" customHeight="true" outlineLevel="0" collapsed="false">
      <c r="A7" s="1" t="s">
        <v>316</v>
      </c>
      <c r="B7" s="35" t="n">
        <v>0.1</v>
      </c>
    </row>
    <row r="9" customFormat="false" ht="27.75" hidden="false" customHeight="true" outlineLevel="0" collapsed="false">
      <c r="A9" s="4" t="s">
        <v>317</v>
      </c>
      <c r="B9" s="4" t="s">
        <v>318</v>
      </c>
      <c r="C9" s="4" t="s">
        <v>319</v>
      </c>
      <c r="D9" s="4" t="s">
        <v>320</v>
      </c>
      <c r="E9" s="4" t="s">
        <v>321</v>
      </c>
      <c r="F9" s="4" t="s">
        <v>322</v>
      </c>
      <c r="G9" s="4" t="s">
        <v>323</v>
      </c>
    </row>
    <row r="10" customFormat="false" ht="15" hidden="false" customHeight="true" outlineLevel="0" collapsed="false">
      <c r="A10" s="1" t="s">
        <v>324</v>
      </c>
      <c r="B10" s="8" t="n">
        <f aca="false">8_Previsions_Ventes!G9</f>
        <v>11340</v>
      </c>
      <c r="C10" s="8" t="n">
        <f aca="false">9_Compte_Exploitation!B7</f>
        <v>5376</v>
      </c>
      <c r="D10" s="8" t="n">
        <f aca="false">B10-C10</f>
        <v>5964</v>
      </c>
      <c r="E10" s="8" t="n">
        <f aca="false">10_Capacite_Remboursement!B10</f>
        <v>5392.385</v>
      </c>
      <c r="F10" s="40" t="n">
        <f aca="false">IFERROR(D10/E10,0)</f>
        <v>1.10600411506226</v>
      </c>
      <c r="G10" s="1" t="str">
        <f aca="false">IF(F10&gt;=1.2,"OK",IF(F10&gt;=1,"Limite","Fragile"))</f>
        <v>Limite</v>
      </c>
    </row>
    <row r="11" customFormat="false" ht="15" hidden="false" customHeight="true" outlineLevel="0" collapsed="false">
      <c r="A11" s="1" t="s">
        <v>325</v>
      </c>
      <c r="B11" s="8" t="n">
        <f aca="false">8_Previsions_Ventes!G9*(1-$B$5)</f>
        <v>9072</v>
      </c>
      <c r="C11" s="8" t="n">
        <f aca="false">$C$10</f>
        <v>5376</v>
      </c>
      <c r="D11" s="8" t="n">
        <f aca="false">B11-C11</f>
        <v>3696</v>
      </c>
      <c r="E11" s="8" t="n">
        <f aca="false">10_Capacite_Remboursement!B10</f>
        <v>5392.385</v>
      </c>
      <c r="F11" s="40" t="n">
        <f aca="false">IFERROR(D11/E11,0)</f>
        <v>0.685411000883654</v>
      </c>
      <c r="G11" s="1" t="str">
        <f aca="false">IF(F11&gt;=1.2,"OK",IF(F11&gt;=1,"Limite","Fragile"))</f>
        <v>Fragile</v>
      </c>
    </row>
    <row r="12" customFormat="false" ht="15" hidden="false" customHeight="true" outlineLevel="0" collapsed="false">
      <c r="A12" s="1" t="s">
        <v>326</v>
      </c>
      <c r="B12" s="8" t="n">
        <f aca="false">8_Previsions_Ventes!G9*(1-$B$6)</f>
        <v>9639</v>
      </c>
      <c r="C12" s="8" t="n">
        <f aca="false">$C$10</f>
        <v>5376</v>
      </c>
      <c r="D12" s="8" t="n">
        <f aca="false">B12-C12</f>
        <v>4263</v>
      </c>
      <c r="E12" s="8" t="n">
        <f aca="false">10_Capacite_Remboursement!B10</f>
        <v>5392.385</v>
      </c>
      <c r="F12" s="40" t="n">
        <f aca="false">IFERROR(D12/E12,0)</f>
        <v>0.790559279428305</v>
      </c>
      <c r="G12" s="1" t="str">
        <f aca="false">IF(F12&gt;=1.2,"OK",IF(F12&gt;=1,"Limite","Fragile"))</f>
        <v>Fragile</v>
      </c>
    </row>
    <row r="13" customFormat="false" ht="15" hidden="false" customHeight="true" outlineLevel="0" collapsed="false">
      <c r="A13" s="1" t="s">
        <v>327</v>
      </c>
      <c r="B13" s="8" t="n">
        <f aca="false">$B$10</f>
        <v>11340</v>
      </c>
      <c r="C13" s="8" t="n">
        <f aca="false">9_Compte_Exploitation!B7*(1+$B$7)</f>
        <v>5913.6</v>
      </c>
      <c r="D13" s="8" t="n">
        <f aca="false">B13-C13</f>
        <v>5426.4</v>
      </c>
      <c r="E13" s="8" t="n">
        <f aca="false">10_Capacite_Remboursement!B10</f>
        <v>5392.385</v>
      </c>
      <c r="F13" s="40" t="n">
        <f aca="false">IFERROR(D13/E13,0)</f>
        <v>1.00630796947918</v>
      </c>
      <c r="G13" s="1" t="str">
        <f aca="false">IF(F13&gt;=1.2,"OK",IF(F13&gt;=1,"Limite","Fragile"))</f>
        <v>Limite</v>
      </c>
    </row>
    <row r="14" customFormat="false" ht="15" hidden="false" customHeight="true" outlineLevel="0" collapsed="false">
      <c r="A14" s="1" t="s">
        <v>328</v>
      </c>
      <c r="B14" s="8" t="n">
        <f aca="false">8_Previsions_Ventes!G9*(1-$B$5)*(1-$B$6)</f>
        <v>7711.2</v>
      </c>
      <c r="C14" s="8" t="n">
        <f aca="false">9_Compte_Exploitation!B7*(1+$B$7)</f>
        <v>5913.6</v>
      </c>
      <c r="D14" s="8" t="n">
        <f aca="false">B14-C14</f>
        <v>1797.6</v>
      </c>
      <c r="E14" s="8" t="n">
        <f aca="false">10_Capacite_Remboursement!B10</f>
        <v>5392.385</v>
      </c>
      <c r="F14" s="40" t="n">
        <f aca="false">IFERROR(D14/E14,0)</f>
        <v>0.333358986793413</v>
      </c>
      <c r="G14" s="1" t="str">
        <f aca="false">IF(F14&gt;=1.2,"OK",IF(F14&gt;=1,"Limite","Fragile"))</f>
        <v>Fragile</v>
      </c>
    </row>
    <row r="16" customFormat="false" ht="15" hidden="false" customHeight="true" outlineLevel="0" collapsed="false">
      <c r="A16" s="6" t="s">
        <v>329</v>
      </c>
      <c r="B16" s="9" t="n">
        <f aca="false">MIN(F11:F14)</f>
        <v>0.333358986793413</v>
      </c>
    </row>
    <row r="17" customFormat="false" ht="15" hidden="false" customHeight="true" outlineLevel="0" collapsed="false">
      <c r="A17" s="6" t="s">
        <v>330</v>
      </c>
      <c r="B17" s="8" t="n">
        <f aca="false">D14/1_Accueil_Parametres!B22</f>
        <v>1498</v>
      </c>
    </row>
    <row r="18" customFormat="false" ht="15" hidden="false" customHeight="true" outlineLevel="0" collapsed="false">
      <c r="A18" s="6" t="s">
        <v>331</v>
      </c>
      <c r="B18" s="1" t="str">
        <f aca="false">IF(E10&lt;=B17,"OK — la dette est soutenable même en scénario combiné","Dépassement : réduire le crédit ou renforcer garanties/domiciliation")</f>
        <v>Dépassement : réduire le crédit ou renforcer garanties/domiciliation</v>
      </c>
    </row>
    <row r="20" customFormat="false" ht="15" hidden="false" customHeight="true" outlineLevel="0" collapsed="false">
      <c r="A20" s="6" t="s">
        <v>332</v>
      </c>
      <c r="B20" s="9" t="n">
        <f aca="false">(10_Capacite_Remboursement!B10+9_Compte_Exploitation!B7-(8_Previsions_Ventes!G9-8_Previsions_Ventes!G5))/(8_Previsions_Ventes!D2*(1-8_Previsions_Ventes!D5)*8_Previsions_Ventes!F5)</f>
        <v>1.85886049382716</v>
      </c>
      <c r="C20" s="1" t="s">
        <v>333</v>
      </c>
    </row>
    <row r="21" customFormat="false" ht="15" hidden="false" customHeight="true" outlineLevel="0" collapsed="false">
      <c r="A21" s="6" t="s">
        <v>334</v>
      </c>
      <c r="B21" s="8" t="n">
        <f aca="false">(10_Capacite_Remboursement!B10+9_Compte_Exploitation!B7-(8_Previsions_Ventes!G9-8_Previsions_Ventes!G5))/8_Previsions_Ventes!E5</f>
        <v>418.243611111111</v>
      </c>
      <c r="C21" s="1" t="s">
        <v>335</v>
      </c>
    </row>
    <row r="22" customFormat="false" ht="15" hidden="false" customHeight="true" outlineLevel="0" collapsed="false">
      <c r="A22" s="6" t="s">
        <v>336</v>
      </c>
      <c r="B22" s="37" t="n">
        <f aca="false">1-B20/8_Previsions_Ventes!B2</f>
        <v>0.0705697530864198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2" min="2" style="1" width="14"/>
    <col collapsed="false" customWidth="true" hidden="false" outlineLevel="0" max="4" min="3" style="1" width="10"/>
    <col collapsed="false" customWidth="true" hidden="false" outlineLevel="0" max="5" min="5" style="1" width="52"/>
    <col collapsed="false" customWidth="true" hidden="false" outlineLevel="0" max="6" min="6" style="1" width="38"/>
    <col collapsed="false" customWidth="true" hidden="false" outlineLevel="0" max="7" min="7" style="1" width="16"/>
    <col collapsed="false" customWidth="true" hidden="false" outlineLevel="0" max="8" min="8" style="1" width="14"/>
  </cols>
  <sheetData>
    <row r="1" customFormat="false" ht="17.25" hidden="false" customHeight="true" outlineLevel="0" collapsed="false">
      <c r="A1" s="38" t="s">
        <v>337</v>
      </c>
    </row>
    <row r="2" customFormat="false" ht="15" hidden="false" customHeight="true" outlineLevel="0" collapsed="false">
      <c r="A2" s="1" t="s">
        <v>338</v>
      </c>
    </row>
    <row r="4" customFormat="false" ht="27.75" hidden="false" customHeight="true" outlineLevel="0" collapsed="false">
      <c r="A4" s="4" t="s">
        <v>213</v>
      </c>
      <c r="B4" s="4" t="s">
        <v>339</v>
      </c>
      <c r="C4" s="4" t="s">
        <v>340</v>
      </c>
      <c r="D4" s="4" t="s">
        <v>341</v>
      </c>
      <c r="E4" s="4" t="s">
        <v>342</v>
      </c>
      <c r="F4" s="4" t="s">
        <v>139</v>
      </c>
      <c r="G4" s="4" t="s">
        <v>343</v>
      </c>
      <c r="H4" s="4" t="s">
        <v>344</v>
      </c>
    </row>
    <row r="5" customFormat="false" ht="15" hidden="false" customHeight="true" outlineLevel="0" collapsed="false">
      <c r="A5" s="1" t="s">
        <v>345</v>
      </c>
      <c r="B5" s="8" t="n">
        <f aca="false">9_Compte_Exploitation!B7/8_Previsions_Ventes!D2</f>
        <v>537.6</v>
      </c>
      <c r="C5" s="7" t="n">
        <v>350</v>
      </c>
      <c r="D5" s="7" t="n">
        <v>700</v>
      </c>
      <c r="E5" s="1" t="str">
        <f aca="false">IF(B5&lt;C5,"À vérifier — sous la plage de référence",IF(B5&gt;D5,"À vérifier — au-dessus de la plage","OK"))</f>
        <v>OK</v>
      </c>
      <c r="F5" s="1" t="s">
        <v>346</v>
      </c>
      <c r="G5" s="7" t="s">
        <v>347</v>
      </c>
      <c r="H5" s="27" t="str">
        <f aca="false">IF(E5="OK","OK",IF(G5="Oui","Justifié","À instruire"))</f>
        <v>OK</v>
      </c>
    </row>
    <row r="6" customFormat="false" ht="15" hidden="false" customHeight="true" outlineLevel="0" collapsed="false">
      <c r="A6" s="1" t="s">
        <v>181</v>
      </c>
      <c r="B6" s="9" t="n">
        <f aca="false">8_Previsions_Ventes!B2</f>
        <v>2</v>
      </c>
      <c r="C6" s="7" t="n">
        <v>1.5</v>
      </c>
      <c r="D6" s="7" t="n">
        <v>4</v>
      </c>
      <c r="E6" s="1" t="str">
        <f aca="false">IF(B6&lt;C6,"À vérifier — sous la plage de référence",IF(B6&gt;D6,"À vérifier — au-dessus de la plage","OK"))</f>
        <v>OK</v>
      </c>
      <c r="F6" s="1" t="s">
        <v>348</v>
      </c>
      <c r="G6" s="7" t="s">
        <v>347</v>
      </c>
      <c r="H6" s="27" t="str">
        <f aca="false">IF(E6="OK","OK",IF(G6="Oui","Justifié","À instruire"))</f>
        <v>OK</v>
      </c>
    </row>
    <row r="7" customFormat="false" ht="15" hidden="false" customHeight="true" outlineLevel="0" collapsed="false">
      <c r="A7" s="1" t="s">
        <v>349</v>
      </c>
      <c r="B7" s="9" t="n">
        <f aca="false">4_Besoins_Financiers!E20</f>
        <v>5500</v>
      </c>
      <c r="C7" s="7" t="n">
        <v>5000</v>
      </c>
      <c r="D7" s="7" t="n">
        <v>8000</v>
      </c>
      <c r="E7" s="1" t="str">
        <f aca="false">IF(B7&lt;C7,"À vérifier — sous la plage de référence",IF(B7&gt;D7,"À vérifier — au-dessus de la plage","OK"))</f>
        <v>OK</v>
      </c>
      <c r="F7" s="1" t="s">
        <v>350</v>
      </c>
      <c r="G7" s="7" t="s">
        <v>347</v>
      </c>
      <c r="H7" s="27" t="str">
        <f aca="false">IF(E7="OK","OK",IF(G7="Oui","Justifié","À instruire"))</f>
        <v>OK</v>
      </c>
    </row>
    <row r="8" customFormat="false" ht="15" hidden="false" customHeight="true" outlineLevel="0" collapsed="false">
      <c r="A8" s="1" t="s">
        <v>351</v>
      </c>
      <c r="B8" s="8" t="n">
        <f aca="false">8_Previsions_Ventes!F5</f>
        <v>450</v>
      </c>
      <c r="C8" s="7" t="n">
        <v>300</v>
      </c>
      <c r="D8" s="7" t="n">
        <v>600</v>
      </c>
      <c r="E8" s="1" t="str">
        <f aca="false">IF(B8&lt;C8,"À vérifier — sous la plage de référence",IF(B8&gt;D8,"À vérifier — au-dessus de la plage","OK"))</f>
        <v>OK</v>
      </c>
      <c r="G8" s="7" t="s">
        <v>347</v>
      </c>
      <c r="H8" s="27" t="str">
        <f aca="false">IF(E8="OK","OK",IF(G8="Oui","Justifié","À instruire"))</f>
        <v>OK</v>
      </c>
    </row>
    <row r="9" customFormat="false" ht="15" hidden="false" customHeight="true" outlineLevel="0" collapsed="false">
      <c r="A9" s="1" t="s">
        <v>352</v>
      </c>
      <c r="B9" s="37" t="n">
        <f aca="false">8_Previsions_Ventes!D5</f>
        <v>0.1</v>
      </c>
      <c r="C9" s="35" t="n">
        <v>0.05</v>
      </c>
      <c r="D9" s="35" t="n">
        <v>0.15</v>
      </c>
      <c r="E9" s="1" t="str">
        <f aca="false">IF(B9&lt;C9,"À vérifier — sous la plage de référence",IF(B9&gt;D9,"À vérifier — au-dessus de la plage","OK"))</f>
        <v>OK</v>
      </c>
      <c r="G9" s="7" t="s">
        <v>347</v>
      </c>
      <c r="H9" s="27" t="str">
        <f aca="false">IF(E9="OK","OK",IF(G9="Oui","Justifié","À instruire"))</f>
        <v>OK</v>
      </c>
    </row>
    <row r="10" customFormat="false" ht="15" hidden="false" customHeight="true" outlineLevel="0" collapsed="false">
      <c r="A10" s="1" t="s">
        <v>353</v>
      </c>
      <c r="B10" s="7" t="s">
        <v>354</v>
      </c>
      <c r="E10" s="1" t="str">
        <f aca="false">IF(B10="Oui","OK","À vérifier — semis hors fenêtre = risque majeur")</f>
        <v>À vérifier — semis hors fenêtre = risque majeur</v>
      </c>
      <c r="G10" s="7" t="s">
        <v>347</v>
      </c>
      <c r="H10" s="27" t="str">
        <f aca="false">IF(E10="OK","OK",IF(G10="Oui","Justifié","À instruire"))</f>
        <v>À instruire</v>
      </c>
    </row>
    <row r="12" customFormat="false" ht="15" hidden="false" customHeight="true" outlineLevel="0" collapsed="false">
      <c r="A12" s="6" t="s">
        <v>355</v>
      </c>
      <c r="B12" s="27" t="str">
        <f aca="false">IF(COUNTIF(H5:H10,"OK")+COUNTIF(H5:H10,"Justifié")=6,"Dossier techniquement vraisemblable (écarts justifiés inclus)","Points à instruire : "&amp;(6-COUNTIF(H5:H10,"OK")-COUNTIF(H5:H10,"Justifié"))&amp;" indicateur(s)")</f>
        <v>Points à instruire : 1 indicateur(s)</v>
      </c>
    </row>
  </sheetData>
  <dataValidations count="2">
    <dataValidation allowBlank="true" errorStyle="stop" operator="between" showDropDown="false" showErrorMessage="false" showInputMessage="false" sqref="B10" type="list">
      <formula1>"Oui,Non,À vérifier"</formula1>
      <formula2>0</formula2>
    </dataValidation>
    <dataValidation allowBlank="true" errorStyle="stop" operator="between" showDropDown="false" showErrorMessage="false" showInputMessage="false" sqref="G5:G10" type="list">
      <formula1>"Oui,Non"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6"/>
    <col collapsed="false" customWidth="true" hidden="false" outlineLevel="0" max="5" min="5" style="1" width="56"/>
    <col collapsed="false" customWidth="true" hidden="false" outlineLevel="0" max="6" min="6" style="1" width="30"/>
    <col collapsed="false" customWidth="true" hidden="false" outlineLevel="0" max="7" min="7" style="1" width="12"/>
    <col collapsed="false" customWidth="true" hidden="false" outlineLevel="0" max="8" min="8" style="1" width="24"/>
    <col collapsed="false" customWidth="true" hidden="false" outlineLevel="0" max="9" min="9" style="1" width="12"/>
    <col collapsed="false" customWidth="true" hidden="false" outlineLevel="0" max="10" min="10" style="1" width="20"/>
  </cols>
  <sheetData>
    <row r="1" customFormat="false" ht="17.25" hidden="false" customHeight="true" outlineLevel="0" collapsed="false">
      <c r="A1" s="38" t="s">
        <v>356</v>
      </c>
    </row>
    <row r="2" customFormat="false" ht="15" hidden="false" customHeight="true" outlineLevel="0" collapsed="false">
      <c r="A2" s="1" t="s">
        <v>357</v>
      </c>
    </row>
    <row r="4" customFormat="false" ht="27.75" hidden="false" customHeight="true" outlineLevel="0" collapsed="false">
      <c r="A4" s="4" t="s">
        <v>89</v>
      </c>
      <c r="B4" s="4" t="s">
        <v>358</v>
      </c>
      <c r="C4" s="4" t="s">
        <v>359</v>
      </c>
      <c r="D4" s="4" t="s">
        <v>360</v>
      </c>
      <c r="E4" s="4" t="s">
        <v>361</v>
      </c>
      <c r="F4" s="4" t="s">
        <v>362</v>
      </c>
      <c r="G4" s="4" t="s">
        <v>363</v>
      </c>
      <c r="H4" s="4" t="s">
        <v>364</v>
      </c>
      <c r="I4" s="4" t="s">
        <v>236</v>
      </c>
      <c r="J4" s="4" t="s">
        <v>365</v>
      </c>
    </row>
    <row r="5" customFormat="false" ht="15" hidden="false" customHeight="true" outlineLevel="0" collapsed="false">
      <c r="A5" s="1" t="n">
        <v>1</v>
      </c>
      <c r="B5" s="1" t="s">
        <v>366</v>
      </c>
      <c r="C5" s="1" t="s">
        <v>367</v>
      </c>
      <c r="D5" s="1" t="s">
        <v>368</v>
      </c>
      <c r="E5" s="1" t="s">
        <v>369</v>
      </c>
      <c r="F5" s="7"/>
      <c r="G5" s="7"/>
      <c r="H5" s="7"/>
      <c r="I5" s="7"/>
      <c r="J5" s="7"/>
    </row>
    <row r="6" customFormat="false" ht="15" hidden="false" customHeight="true" outlineLevel="0" collapsed="false">
      <c r="A6" s="1" t="n">
        <v>2</v>
      </c>
      <c r="B6" s="1" t="s">
        <v>370</v>
      </c>
      <c r="C6" s="1" t="s">
        <v>371</v>
      </c>
      <c r="D6" s="1" t="s">
        <v>372</v>
      </c>
      <c r="E6" s="1" t="s">
        <v>373</v>
      </c>
      <c r="F6" s="7"/>
      <c r="G6" s="7"/>
      <c r="H6" s="7"/>
      <c r="I6" s="7"/>
      <c r="J6" s="7"/>
    </row>
    <row r="7" customFormat="false" ht="15" hidden="false" customHeight="true" outlineLevel="0" collapsed="false">
      <c r="A7" s="1" t="n">
        <v>3</v>
      </c>
      <c r="B7" s="1" t="s">
        <v>374</v>
      </c>
      <c r="C7" s="1" t="s">
        <v>375</v>
      </c>
      <c r="D7" s="1" t="s">
        <v>376</v>
      </c>
      <c r="E7" s="1" t="s">
        <v>377</v>
      </c>
      <c r="F7" s="7"/>
      <c r="G7" s="7"/>
      <c r="H7" s="7"/>
      <c r="I7" s="7"/>
      <c r="J7" s="7"/>
    </row>
    <row r="8" customFormat="false" ht="15" hidden="false" customHeight="true" outlineLevel="0" collapsed="false">
      <c r="A8" s="1" t="n">
        <v>4</v>
      </c>
      <c r="B8" s="1" t="s">
        <v>378</v>
      </c>
      <c r="C8" s="1" t="s">
        <v>379</v>
      </c>
      <c r="D8" s="1" t="s">
        <v>380</v>
      </c>
      <c r="E8" s="1" t="s">
        <v>381</v>
      </c>
      <c r="F8" s="7"/>
      <c r="G8" s="7"/>
      <c r="H8" s="7"/>
      <c r="I8" s="7"/>
      <c r="J8" s="7"/>
    </row>
    <row r="9" customFormat="false" ht="15" hidden="false" customHeight="true" outlineLevel="0" collapsed="false">
      <c r="A9" s="1" t="n">
        <v>5</v>
      </c>
      <c r="B9" s="1" t="s">
        <v>382</v>
      </c>
      <c r="C9" s="1" t="s">
        <v>383</v>
      </c>
      <c r="D9" s="1" t="s">
        <v>384</v>
      </c>
      <c r="E9" s="1" t="s">
        <v>385</v>
      </c>
      <c r="F9" s="7"/>
      <c r="G9" s="7"/>
      <c r="H9" s="7"/>
      <c r="I9" s="7"/>
      <c r="J9" s="7"/>
    </row>
    <row r="11" customFormat="false" ht="15" hidden="false" customHeight="true" outlineLevel="0" collapsed="false">
      <c r="A11" s="1" t="s">
        <v>386</v>
      </c>
    </row>
  </sheetData>
  <dataValidations count="2">
    <dataValidation allowBlank="true" errorStyle="stop" operator="between" showDropDown="false" showErrorMessage="false" showInputMessage="false" sqref="I5:I9" type="list">
      <formula1>"Conforme,Alerte,Bloquant"</formula1>
      <formula2>0</formula2>
    </dataValidation>
    <dataValidation allowBlank="true" errorStyle="stop" operator="between" showDropDown="false" showErrorMessage="false" showInputMessage="false" sqref="J5:J9" type="list">
      <formula1>"Débloquer la tranche,Suspendre,Reporter,Clôturer"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4" min="4" style="1" width="16"/>
    <col collapsed="false" customWidth="true" hidden="false" outlineLevel="0" max="5" min="5" style="1" width="18"/>
  </cols>
  <sheetData>
    <row r="1" customFormat="false" ht="17.25" hidden="false" customHeight="true" outlineLevel="0" collapsed="false">
      <c r="A1" s="2" t="s">
        <v>387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6" t="s">
        <v>9</v>
      </c>
      <c r="B4" s="8" t="n">
        <f aca="false">5_Synthese_Besoins!B13</f>
        <v>7151</v>
      </c>
      <c r="D4" s="3" t="s">
        <v>388</v>
      </c>
    </row>
    <row r="5" customFormat="false" ht="81.75" hidden="false" customHeight="true" outlineLevel="0" collapsed="false">
      <c r="A5" s="6" t="s">
        <v>12</v>
      </c>
      <c r="B5" s="8" t="n">
        <f aca="false">6_Plan_Financement!B8</f>
        <v>4751</v>
      </c>
      <c r="D5" s="41" t="s">
        <v>389</v>
      </c>
    </row>
    <row r="6" customFormat="false" ht="15" hidden="false" customHeight="true" outlineLevel="0" collapsed="false">
      <c r="A6" s="6" t="s">
        <v>15</v>
      </c>
      <c r="B6" s="8" t="n">
        <f aca="false">6_Plan_Financement!B7</f>
        <v>2400</v>
      </c>
    </row>
    <row r="7" customFormat="false" ht="15" hidden="false" customHeight="true" outlineLevel="0" collapsed="false">
      <c r="A7" s="6" t="s">
        <v>18</v>
      </c>
      <c r="B7" s="8" t="n">
        <f aca="false">8_Previsions_Ventes!G9</f>
        <v>11340</v>
      </c>
      <c r="D7" s="12" t="s">
        <v>390</v>
      </c>
      <c r="E7" s="27" t="str">
        <f aca="false">IF(6_Plan_Financement!B10=0,"OK","Écart à couvrir")</f>
        <v>OK</v>
      </c>
    </row>
    <row r="8" customFormat="false" ht="15" hidden="false" customHeight="true" outlineLevel="0" collapsed="false">
      <c r="A8" s="6" t="s">
        <v>21</v>
      </c>
      <c r="B8" s="8" t="n">
        <f aca="false">9_Compte_Exploitation!B12</f>
        <v>5322.615</v>
      </c>
      <c r="D8" s="12" t="s">
        <v>391</v>
      </c>
      <c r="E8" s="27" t="str">
        <f aca="false">IF(10_Capacite_Remboursement!B12&gt;=1_Accueil_Parametres!B22,"OK","Remboursement fragile")</f>
        <v>Remboursement fragile</v>
      </c>
    </row>
    <row r="9" customFormat="false" ht="15" hidden="false" customHeight="true" outlineLevel="0" collapsed="false">
      <c r="A9" s="6" t="s">
        <v>24</v>
      </c>
      <c r="B9" s="9" t="n">
        <f aca="false">10_Capacite_Remboursement!B12</f>
        <v>1.10600411506226</v>
      </c>
    </row>
    <row r="10" customFormat="false" ht="15" hidden="false" customHeight="true" outlineLevel="0" collapsed="false">
      <c r="A10" s="6" t="s">
        <v>392</v>
      </c>
      <c r="B10" s="37" t="n">
        <f aca="false">12_Analyse_Credit!B10</f>
        <v>1</v>
      </c>
    </row>
    <row r="11" customFormat="false" ht="15" hidden="false" customHeight="true" outlineLevel="0" collapsed="false">
      <c r="A11" s="6" t="s">
        <v>393</v>
      </c>
      <c r="B11" s="27" t="str">
        <f aca="false">12_Analyse_Credit!B11</f>
        <v>Favorable sous conditions</v>
      </c>
    </row>
    <row r="12" customFormat="false" ht="15" hidden="false" customHeight="true" outlineLevel="0" collapsed="false">
      <c r="A12" s="1" t="s">
        <v>394</v>
      </c>
      <c r="B12" s="37" t="n">
        <f aca="false">15_Garanties_Collateraux!B14</f>
        <v>2.64409903966427</v>
      </c>
      <c r="D12" s="1" t="s">
        <v>395</v>
      </c>
      <c r="E12" s="1" t="str">
        <f aca="false">IF(15_Garanties_Collateraux!B14&gt;=1_Accueil_Parametres!B24,"OK","Couverture partielle")</f>
        <v>OK</v>
      </c>
    </row>
    <row r="13" customFormat="false" ht="15" hidden="false" customHeight="true" outlineLevel="0" collapsed="false">
      <c r="A13" s="1" t="s">
        <v>396</v>
      </c>
      <c r="B13" s="8" t="n">
        <f aca="false">16_Tresorerie_Mensuelle!B21</f>
        <v>2424.72222222222</v>
      </c>
    </row>
    <row r="14" customFormat="false" ht="15" hidden="false" customHeight="true" outlineLevel="0" collapsed="false">
      <c r="A14" s="1" t="s">
        <v>397</v>
      </c>
      <c r="B14" s="9" t="n">
        <f aca="false">17_Sensibilite_StressTest!B16</f>
        <v>0.333358986793413</v>
      </c>
      <c r="D14" s="1" t="s">
        <v>398</v>
      </c>
      <c r="E14" s="1" t="str">
        <f aca="false">IF(17_Sensibilite_StressTest!B16&gt;=1_Accueil_Parametres!B23,"OK","Fragile en scénario de stress")</f>
        <v>Fragile en scénario de stress</v>
      </c>
    </row>
    <row r="15" customFormat="false" ht="15" hidden="false" customHeight="true" outlineLevel="0" collapsed="false">
      <c r="A15" s="1" t="s">
        <v>399</v>
      </c>
      <c r="B15" s="36" t="n">
        <f aca="false">12_Analyse_Credit!D10</f>
        <v>58.4834362098898</v>
      </c>
      <c r="D15" s="1" t="s">
        <v>400</v>
      </c>
      <c r="E15" s="1" t="str">
        <f aca="false">IF(12_Analyse_Credit!D10&gt;=1_Accueil_Parametres!B25,"OK","Score insuffisant")</f>
        <v>Score insuffisant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28"/>
  </cols>
  <sheetData>
    <row r="1" customFormat="false" ht="17.25" hidden="false" customHeight="true" outlineLevel="0" collapsed="false">
      <c r="A1" s="2" t="s">
        <v>401</v>
      </c>
      <c r="B1" s="2"/>
      <c r="C1" s="2"/>
      <c r="D1" s="2"/>
      <c r="E1" s="2"/>
      <c r="F1" s="2"/>
      <c r="G1" s="2"/>
      <c r="H1" s="2"/>
    </row>
    <row r="4" customFormat="false" ht="15" hidden="false" customHeight="true" outlineLevel="0" collapsed="false">
      <c r="A4" s="4" t="s">
        <v>402</v>
      </c>
      <c r="B4" s="4" t="s">
        <v>403</v>
      </c>
      <c r="C4" s="4" t="s">
        <v>5</v>
      </c>
      <c r="D4" s="4" t="s">
        <v>68</v>
      </c>
      <c r="E4" s="4" t="s">
        <v>139</v>
      </c>
    </row>
    <row r="5" customFormat="false" ht="15" hidden="false" customHeight="true" outlineLevel="0" collapsed="false">
      <c r="A5" s="12" t="s">
        <v>404</v>
      </c>
      <c r="B5" s="12" t="s">
        <v>405</v>
      </c>
      <c r="C5" s="42" t="n">
        <v>500</v>
      </c>
      <c r="D5" s="12" t="s">
        <v>85</v>
      </c>
      <c r="E5" s="12" t="s">
        <v>406</v>
      </c>
    </row>
    <row r="6" customFormat="false" ht="15" hidden="false" customHeight="true" outlineLevel="0" collapsed="false">
      <c r="A6" s="12" t="s">
        <v>185</v>
      </c>
      <c r="B6" s="12" t="s">
        <v>407</v>
      </c>
      <c r="C6" s="43" t="n">
        <v>0.1</v>
      </c>
      <c r="D6" s="12" t="s">
        <v>408</v>
      </c>
      <c r="E6" s="12" t="s">
        <v>409</v>
      </c>
    </row>
    <row r="7" customFormat="false" ht="15" hidden="false" customHeight="true" outlineLevel="0" collapsed="false">
      <c r="A7" s="12" t="s">
        <v>410</v>
      </c>
      <c r="B7" s="12" t="s">
        <v>67</v>
      </c>
      <c r="C7" s="44" t="n">
        <v>2</v>
      </c>
      <c r="D7" s="12" t="s">
        <v>411</v>
      </c>
      <c r="E7" s="12" t="s">
        <v>412</v>
      </c>
    </row>
    <row r="8" customFormat="false" ht="15" hidden="false" customHeight="true" outlineLevel="0" collapsed="false">
      <c r="A8" s="12" t="s">
        <v>413</v>
      </c>
      <c r="B8" s="12" t="s">
        <v>414</v>
      </c>
      <c r="C8" s="43" t="n">
        <v>0.18</v>
      </c>
      <c r="D8" s="12" t="s">
        <v>415</v>
      </c>
      <c r="E8" s="12" t="s">
        <v>416</v>
      </c>
    </row>
    <row r="9" customFormat="false" ht="15" hidden="false" customHeight="true" outlineLevel="0" collapsed="false">
      <c r="A9" s="12" t="s">
        <v>417</v>
      </c>
      <c r="B9" s="12" t="s">
        <v>418</v>
      </c>
      <c r="C9" s="12"/>
      <c r="D9" s="12"/>
      <c r="E9" s="12" t="s">
        <v>419</v>
      </c>
    </row>
    <row r="10" customFormat="false" ht="15" hidden="false" customHeight="true" outlineLevel="0" collapsed="false">
      <c r="A10" s="1" t="s">
        <v>384</v>
      </c>
      <c r="B10" s="1" t="s">
        <v>420</v>
      </c>
      <c r="C10" s="1" t="n">
        <f aca="false">1_Accueil_Parametres!B20</f>
        <v>5</v>
      </c>
      <c r="D10" s="1" t="s">
        <v>116</v>
      </c>
      <c r="E10" s="1" t="s">
        <v>421</v>
      </c>
    </row>
    <row r="11" customFormat="false" ht="15" hidden="false" customHeight="true" outlineLevel="0" collapsed="false">
      <c r="A11" s="1" t="s">
        <v>422</v>
      </c>
      <c r="B11" s="1" t="s">
        <v>423</v>
      </c>
      <c r="C11" s="1" t="s">
        <v>424</v>
      </c>
      <c r="D11" s="1" t="s">
        <v>425</v>
      </c>
      <c r="E11" s="1" t="s">
        <v>426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2026-03-12T01:18:45Z</dcterms:created>
  <dc:creator>openpyxl</dc:creator>
  <dc:description/>
  <dc:language>en-US</dc:language>
  <cp:lastModifiedBy/>
  <dcterms:modified xsi:type="dcterms:W3CDTF">2026-07-04T20:57:03Z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