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<sst xmlns="http://schemas.openxmlformats.org/spreadsheetml/2006/main" count="560" uniqueCount="425">
  <si>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</si>
  <si>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</si>
  <si>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</si>
  <si>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</si>
  <si>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</si>
  <si>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</si>
  <si>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</si>
  <si>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</si>
  <si>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Plantation plantain année 1 (+ niébé intercalaire)</t>
  </si>
  <si>
    <t xml:space="preserve">Besoin total du cycle</t>
  </si>
  <si>
    <t xml:space="preserve">Code dossier</t>
  </si>
  <si>
    <t xml:space="preserve">05-Bananes-Plantain</t>
  </si>
  <si>
    <t xml:space="preserve">Crédit recommandé</t>
  </si>
  <si>
    <t xml:space="preserve">Nom de l'opérateur</t>
  </si>
  <si>
    <t xml:space="preserve">Ferme Lisanga</t>
  </si>
  <si>
    <t xml:space="preserve">Apport propre</t>
  </si>
  <si>
    <t xml:space="preserve">Filière</t>
  </si>
  <si>
    <t xml:space="preserve">Bananes &amp; plantes herbacées</t>
  </si>
  <si>
    <t xml:space="preserve">Recettes prévues</t>
  </si>
  <si>
    <t xml:space="preserve">Zone</t>
  </si>
  <si>
    <t xml:space="preserve">Kongo Central / Kisantu</t>
  </si>
  <si>
    <t xml:space="preserve">Résultat net prévisionnel</t>
  </si>
  <si>
    <t xml:space="preserve">Campagne / saison</t>
  </si>
  <si>
    <t xml:space="preserve">2026 - Année 1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</si>
  <si>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</si>
  <si>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</si>
  <si>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</si>
  <si>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</si>
  <si>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</si>
  <si>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</si>
  <si>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</si>
  <si>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</si>
  <si>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</si>
  <si>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</si>
  <si>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</si>
  <si>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</si>
  <si>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</si>
  <si>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</si>
  <si>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</si>
  <si>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</si>
  <si>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</si>
  <si>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</si>
  <si>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</si>
  <si>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</si>
  <si>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</si>
  <si>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</si>
  <si>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</si>
  <si>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</si>
  <si>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Entreprise agricole familiale</t>
  </si>
  <si>
    <t xml:space="preserve">Profils chaîne de valeur</t>
  </si>
  <si>
    <t xml:space="preserve">Producteur végétal</t>
  </si>
  <si>
    <t xml:space="preserve">Sélection multiple</t>
  </si>
  <si>
    <t xml:space="preserve">Production principale</t>
  </si>
  <si>
    <t xml:space="preserve">Banane plantain</t>
  </si>
  <si>
    <t xml:space="preserve">Superficie exploitée (ha)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</si>
  <si>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</si>
  <si>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</si>
  <si>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</si>
  <si>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</si>
  <si>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Contrat de vente + épargne nantie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</si>
  <si>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</si>
  <si>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</si>
  <si>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</si>
  <si>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</si>
  <si>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</si>
  <si>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</si>
  <si>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</si>
  <si>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</si>
  <si>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</si>
  <si>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</si>
  <si>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</si>
  <si>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</si>
  <si>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</si>
  <si>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Défrichage, trouaison</t>
  </si>
  <si>
    <t xml:space="preserve">Implantation</t>
  </si>
  <si>
    <t xml:space="preserve">Plantation des rejets + semis niébé</t>
  </si>
  <si>
    <t xml:space="preserve">Croissance</t>
  </si>
  <si>
    <t xml:space="preserve">Croissance, œilletonnage, sarclages</t>
  </si>
  <si>
    <t xml:space="preserve">Récolte</t>
  </si>
  <si>
    <t xml:space="preserve">Première récolte des régimes</t>
  </si>
  <si>
    <t xml:space="preserve">Post-récolte</t>
  </si>
  <si>
    <t xml:space="preserve">Mûrissage contrôlé, tri</t>
  </si>
  <si>
    <t xml:space="preserve">Commercialisation</t>
  </si>
  <si>
    <t xml:space="preserve">Vente des régimes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</si>
  <si>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</si>
  <si>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</si>
  <si>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</si>
  <si>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</si>
  <si>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</si>
  <si>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</si>
  <si>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</si>
  <si>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</si>
  <si>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</si>
  <si>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</si>
  <si>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</si>
  <si>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</si>
  <si>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</si>
  <si>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</si>
  <si>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Semences &amp; Intrants</t>
  </si>
  <si>
    <t xml:space="preserve">Rejets sains de plantain</t>
  </si>
  <si>
    <t xml:space="preserve">rejets</t>
  </si>
  <si>
    <t xml:space="preserve">Crédit</t>
  </si>
  <si>
    <t xml:space="preserve">Semences niébé</t>
  </si>
  <si>
    <t xml:space="preserve">kg</t>
  </si>
  <si>
    <t xml:space="preserve">Fumure organique</t>
  </si>
  <si>
    <t xml:space="preserve">Produits phytosanitaires</t>
  </si>
  <si>
    <t xml:space="preserve">forfait</t>
  </si>
  <si>
    <t xml:space="preserve">Opérations mécanisées</t>
  </si>
  <si>
    <t xml:space="preserve">Défrichage et labour</t>
  </si>
  <si>
    <t xml:space="preserve">ha</t>
  </si>
  <si>
    <t xml:space="preserve">Main d'œuvre</t>
  </si>
  <si>
    <t xml:space="preserve">Trouaison et plantation</t>
  </si>
  <si>
    <t xml:space="preserve">plants</t>
  </si>
  <si>
    <t xml:space="preserve">Sarclages (4 passages)</t>
  </si>
  <si>
    <t xml:space="preserve">Œilletonnage et tuteurage</t>
  </si>
  <si>
    <t xml:space="preserve">Supervision technique</t>
  </si>
  <si>
    <t xml:space="preserve">mois</t>
  </si>
  <si>
    <t xml:space="preserve">Tout le cycle</t>
  </si>
  <si>
    <t xml:space="preserve">Apport</t>
  </si>
  <si>
    <t xml:space="preserve">Équipement &amp; petit matériel</t>
  </si>
  <si>
    <t xml:space="preserve">Petit outillage</t>
  </si>
  <si>
    <t xml:space="preserve">Récolte &amp; post-récolte</t>
  </si>
  <si>
    <t xml:space="preserve">Main d'œuvre récolte</t>
  </si>
  <si>
    <t xml:space="preserve">Logistique</t>
  </si>
  <si>
    <t xml:space="preserve">Transport des régimes</t>
  </si>
  <si>
    <t xml:space="preserve">Frais de marché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</si>
  <si>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</si>
  <si>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</si>
  <si>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</si>
  <si>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</si>
  <si>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</si>
  <si>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</si>
  <si>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</si>
  <si>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</si>
  <si>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</si>
  <si>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</si>
  <si>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</si>
  <si>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</si>
  <si>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</si>
  <si>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</si>
  <si>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</si>
  <si>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</si>
  <si>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</si>
  <si>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</si>
  <si>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</si>
  <si>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</si>
  <si>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</si>
  <si>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</si>
  <si>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</si>
  <si>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</si>
  <si>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</si>
  <si>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</si>
  <si>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</si>
  <si>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</si>
  <si>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</si>
  <si>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</si>
  <si>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</si>
  <si>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</si>
  <si>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</si>
  <si>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</si>
  <si>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</si>
  <si>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</si>
  <si>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</si>
  <si>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</si>
  <si>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</si>
  <si>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</si>
  <si>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</si>
  <si>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</si>
  <si>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</si>
  <si>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</si>
  <si>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</si>
  <si>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</si>
  <si>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</si>
  <si>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</si>
  <si>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</si>
  <si>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régimes année 1 (t/ha)</t>
  </si>
  <si>
    <t xml:space="preserve">Superficie (ha)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</si>
  <si>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</si>
  <si>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</si>
  <si>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</si>
  <si>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</si>
  <si>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</si>
  <si>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</si>
  <si>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</si>
  <si>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</si>
  <si>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Régimes de plantain</t>
  </si>
  <si>
    <t xml:space="preserve">Vente bord champ + marché</t>
  </si>
  <si>
    <t xml:space="preserve">Hypothèse centrale</t>
  </si>
  <si>
    <t xml:space="preserve">Niébé intercalaire</t>
  </si>
  <si>
    <t xml:space="preserve">Vente locale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</si>
  <si>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</si>
  <si>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</si>
  <si>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</si>
  <si>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</si>
  <si>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</si>
  <si>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</si>
  <si>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</si>
  <si>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</si>
  <si>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</si>
  <si>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</si>
  <si>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</si>
  <si>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</si>
  <si>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</si>
  <si>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</si>
  <si>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</si>
  <si>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</si>
  <si>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</si>
  <si>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</si>
  <si>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</si>
  <si>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</si>
  <si>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</si>
  <si>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</si>
  <si>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</si>
  <si>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</si>
  <si>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</si>
  <si>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</si>
  <si>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</si>
  <si>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</si>
  <si>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</si>
  <si>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</si>
  <si>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</si>
  <si>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</si>
  <si>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</si>
  <si>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</si>
  <si>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</si>
  <si>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</si>
  <si>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</si>
  <si>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</si>
  <si>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</si>
  <si>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</si>
  <si>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</si>
  <si>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</si>
  <si>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</si>
  <si>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</si>
  <si>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</si>
  <si>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</si>
  <si>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</si>
  <si>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</si>
  <si>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</si>
  <si>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</si>
  <si>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</si>
  <si>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</si>
  <si>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</si>
  <si>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</si>
  <si>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</si>
  <si>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</si>
  <si>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</si>
  <si>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</si>
  <si>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</si>
  <si>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</si>
  <si>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</si>
  <si>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</si>
  <si>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</si>
  <si>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</si>
  <si>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</si>
  <si>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</si>
  <si>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</si>
  <si>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</si>
  <si>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</si>
  <si>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</si>
  <si>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Banane plantain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</si>
  <si>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</si>
  <si>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</si>
  <si>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</si>
  <si>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</si>
  <si>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Banane plantain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</si>
  <si>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</si>
  <si>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</si>
  <si>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</si>
  <si>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</si>
  <si>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</si>
  <si>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</si>
  <si>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</si>
  <si>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</si>
  <si>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</si>
  <si>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</si>
  <si>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</si>
  <si>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</si>
  <si>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</si>
  <si>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</si>
  <si>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</si>
  <si>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</si>
  <si>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</si>
  <si>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</si>
  <si>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</si>
  <si>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</si>
  <si>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</si>
  <si>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</si>
  <si>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</si>
  <si>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</si>
  <si>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</si>
  <si>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</si>
  <si>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</si>
  <si>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</si>
  <si>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</si>
  <si>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</si>
  <si>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Post récolte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</si>
  <si>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</si>
  <si>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</si>
  <si>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</si>
  <si>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</si>
  <si>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</si>
  <si>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</si>
  <si>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</si>
  <si>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</si>
  <si>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</si>
  <si>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</si>
  <si>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</si>
  <si>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</si>
  <si>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</si>
  <si>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</si>
  <si>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</si>
  <si>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</si>
  <si>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</si>
  <si>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</si>
  <si>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</si>
  <si>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</si>
  <si>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</si>
  <si>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</si>
  <si>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</si>
  <si>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</si>
  <si>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</si>
  <si>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</si>
  <si>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</si>
  <si>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</si>
  <si>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</si>
  <si>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</si>
  <si>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</si>
  <si>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</si>
  <si>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</si>
  <si>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</si>
  <si>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</si>
  <si>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</si>
  <si>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</si>
  <si>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</si>
  <si>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</si>
  <si>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</si>
  <si>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</si>
  <si>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</si>
  <si>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</si>
  <si>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</si>
  <si>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</si>
  <si>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ha (USD/ha)</t>
  </si>
  <si>
    <t xml:space="preserve">Année d'installation</t>
  </si>
  <si>
    <t xml:space="preserve">Non</t>
  </si>
  <si>
    <t xml:space="preserve">Réf. plantain bien conduit</t>
  </si>
  <si>
    <t xml:space="preserve">Densité de rejets (par ha)</t>
  </si>
  <si>
    <t xml:space="preserve">Norme : 1 600/ha</t>
  </si>
  <si>
    <t xml:space="preserve">Prix de vente retenu (USD/t)</t>
  </si>
  <si>
    <t xml:space="preserve">Plage marché</t>
  </si>
  <si>
    <t xml:space="preserve">Taux de perte post-récolte</t>
  </si>
  <si>
    <t xml:space="preserve">Rejets issus de pieds sains (BXW) vérifiés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</si>
  <si>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</si>
  <si>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</si>
  <si>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</si>
  <si>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</si>
  <si>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</si>
  <si>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</si>
  <si>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</si>
  <si>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</si>
  <si>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</si>
  <si>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</si>
  <si>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</si>
  <si>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</si>
  <si>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</si>
  <si>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</si>
  <si>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</si>
  <si>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</si>
  <si>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</si>
  <si>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</si>
  <si>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</si>
  <si>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</si>
  <si>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</si>
  <si>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</si>
  <si>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</si>
  <si>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</si>
  <si>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</si>
  <si>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</si>
  <si>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</si>
  <si>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</si>
  <si>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</si>
  <si>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</si>
  <si>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</si>
  <si>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</si>
  <si>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</si>
  <si>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</si>
  <si>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</si>
  <si>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</si>
  <si>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</si>
  <si>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</si>
  <si>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</si>
  <si>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</si>
  <si>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</si>
  <si>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</si>
  <si>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</si>
  <si>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</si>
  <si>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</si>
  <si>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</si>
  <si>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</si>
  <si>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</si>
  <si>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</si>
  <si>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</si>
  <si>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</si>
  <si>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</si>
  <si>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</si>
  <si>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</si>
  <si>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</si>
  <si>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</si>
  <si>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</si>
  <si>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t/ha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</si>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</sst>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4686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3186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1500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8804.8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3939.215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1.20163240831088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12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12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10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2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1500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2</v>
      </c>
      <c r="D6" s="16" t="n">
        <f aca="false">C6-B6+1</f>
        <v>2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2</v>
      </c>
      <c r="C7" s="15" t="n">
        <v>9</v>
      </c>
      <c r="D7" s="16" t="n">
        <f aca="false">C7-B7+1</f>
        <v>8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10</v>
      </c>
      <c r="C8" s="15" t="n">
        <v>11</v>
      </c>
      <c r="D8" s="16" t="n">
        <f aca="false">C8-B8+1</f>
        <v>2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10</v>
      </c>
      <c r="C9" s="15" t="n">
        <v>12</v>
      </c>
      <c r="D9" s="16" t="n">
        <f aca="false">C9-B9+1</f>
        <v>3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11</v>
      </c>
      <c r="C10" s="15" t="n">
        <v>12</v>
      </c>
      <c r="D10" s="16" t="n">
        <f aca="false">C10-B10+1</f>
        <v>2</v>
      </c>
      <c r="E10" s="17" t="s">
        <v>83</v>
      </c>
      <c r="F10" s="15" t="n">
        <f aca="false">8_Previsions_Ventes!B5</f>
        <v>22</v>
      </c>
      <c r="G10" s="17" t="s">
        <v>84</v>
      </c>
      <c r="H10" s="15" t="n">
        <v>400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3200</v>
      </c>
      <c r="F5" s="20" t="n">
        <v>0.4</v>
      </c>
      <c r="G5" s="20" t="n">
        <v>1</v>
      </c>
      <c r="H5" s="21" t="n">
        <f aca="false">E5*F5*G5</f>
        <v>1280</v>
      </c>
      <c r="I5" s="19" t="s">
        <v>72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103</v>
      </c>
      <c r="E6" s="20" t="n">
        <v>40</v>
      </c>
      <c r="F6" s="20" t="n">
        <v>1.5</v>
      </c>
      <c r="G6" s="20" t="n">
        <v>1</v>
      </c>
      <c r="H6" s="21" t="n">
        <f aca="false">E6*F6*G6</f>
        <v>60</v>
      </c>
      <c r="I6" s="19" t="s">
        <v>74</v>
      </c>
      <c r="J6" s="20" t="s">
        <v>101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 t="s">
        <v>104</v>
      </c>
      <c r="D7" s="18" t="s">
        <v>84</v>
      </c>
      <c r="E7" s="20" t="n">
        <v>30</v>
      </c>
      <c r="F7" s="20" t="n">
        <v>12</v>
      </c>
      <c r="G7" s="20" t="n">
        <v>1</v>
      </c>
      <c r="H7" s="21" t="n">
        <f aca="false">E7*F7*G7</f>
        <v>360</v>
      </c>
      <c r="I7" s="19" t="s">
        <v>72</v>
      </c>
      <c r="J7" s="20" t="s">
        <v>101</v>
      </c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 t="s">
        <v>105</v>
      </c>
      <c r="D8" s="18" t="s">
        <v>106</v>
      </c>
      <c r="E8" s="20" t="n">
        <v>1</v>
      </c>
      <c r="F8" s="20" t="n">
        <v>100</v>
      </c>
      <c r="G8" s="20" t="n">
        <v>1</v>
      </c>
      <c r="H8" s="21" t="n">
        <f aca="false">E8*F8*G8</f>
        <v>100</v>
      </c>
      <c r="I8" s="19" t="s">
        <v>76</v>
      </c>
      <c r="J8" s="20" t="s">
        <v>101</v>
      </c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107</v>
      </c>
      <c r="C10" s="18" t="s">
        <v>108</v>
      </c>
      <c r="D10" s="18" t="s">
        <v>109</v>
      </c>
      <c r="E10" s="20" t="n">
        <v>2</v>
      </c>
      <c r="F10" s="20" t="n">
        <v>100</v>
      </c>
      <c r="G10" s="20" t="n">
        <v>1</v>
      </c>
      <c r="H10" s="21" t="n">
        <f aca="false">E10*F10*G10</f>
        <v>200</v>
      </c>
      <c r="I10" s="19" t="s">
        <v>72</v>
      </c>
      <c r="J10" s="20" t="s">
        <v>101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107</v>
      </c>
      <c r="C11" s="18"/>
      <c r="D11" s="18"/>
      <c r="E11" s="20"/>
      <c r="F11" s="20"/>
      <c r="G11" s="20" t="n">
        <v>1</v>
      </c>
      <c r="H11" s="21" t="n">
        <f aca="false">E11*F11*G11</f>
        <v>0</v>
      </c>
      <c r="I11" s="19"/>
      <c r="J11" s="20"/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107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107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107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110</v>
      </c>
      <c r="C15" s="18" t="s">
        <v>111</v>
      </c>
      <c r="D15" s="18" t="s">
        <v>112</v>
      </c>
      <c r="E15" s="20" t="n">
        <v>3200</v>
      </c>
      <c r="F15" s="20" t="n">
        <v>0.25</v>
      </c>
      <c r="G15" s="20" t="n">
        <v>1</v>
      </c>
      <c r="H15" s="21" t="n">
        <f aca="false">E15*F15*G15</f>
        <v>800</v>
      </c>
      <c r="I15" s="19" t="s">
        <v>74</v>
      </c>
      <c r="J15" s="20" t="s">
        <v>101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110</v>
      </c>
      <c r="C16" s="18" t="s">
        <v>113</v>
      </c>
      <c r="D16" s="18" t="s">
        <v>109</v>
      </c>
      <c r="E16" s="20" t="n">
        <v>8</v>
      </c>
      <c r="F16" s="20" t="n">
        <v>30</v>
      </c>
      <c r="G16" s="20" t="n">
        <v>1</v>
      </c>
      <c r="H16" s="21" t="n">
        <f aca="false">E16*F16*G16</f>
        <v>240</v>
      </c>
      <c r="I16" s="19" t="s">
        <v>76</v>
      </c>
      <c r="J16" s="20" t="s">
        <v>101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110</v>
      </c>
      <c r="C17" s="18" t="s">
        <v>114</v>
      </c>
      <c r="D17" s="18" t="s">
        <v>106</v>
      </c>
      <c r="E17" s="20" t="n">
        <v>1</v>
      </c>
      <c r="F17" s="20" t="n">
        <v>200</v>
      </c>
      <c r="G17" s="20" t="n">
        <v>1</v>
      </c>
      <c r="H17" s="21" t="n">
        <f aca="false">E17*F17*G17</f>
        <v>200</v>
      </c>
      <c r="I17" s="19" t="s">
        <v>76</v>
      </c>
      <c r="J17" s="20" t="s">
        <v>101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110</v>
      </c>
      <c r="C18" s="18" t="s">
        <v>115</v>
      </c>
      <c r="D18" s="18" t="s">
        <v>116</v>
      </c>
      <c r="E18" s="20" t="n">
        <v>12</v>
      </c>
      <c r="F18" s="20" t="n">
        <v>30</v>
      </c>
      <c r="G18" s="20" t="n">
        <v>1</v>
      </c>
      <c r="H18" s="21" t="n">
        <f aca="false">E18*F18*G18</f>
        <v>360</v>
      </c>
      <c r="I18" s="19" t="s">
        <v>117</v>
      </c>
      <c r="J18" s="20" t="s">
        <v>118</v>
      </c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110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119</v>
      </c>
      <c r="C20" s="18" t="s">
        <v>120</v>
      </c>
      <c r="D20" s="18" t="s">
        <v>106</v>
      </c>
      <c r="E20" s="20" t="n">
        <v>1</v>
      </c>
      <c r="F20" s="20" t="n">
        <v>120</v>
      </c>
      <c r="G20" s="20" t="n">
        <v>1</v>
      </c>
      <c r="H20" s="21" t="n">
        <f aca="false">E20*F20*G20</f>
        <v>120</v>
      </c>
      <c r="I20" s="19" t="s">
        <v>72</v>
      </c>
      <c r="J20" s="20" t="s">
        <v>118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119</v>
      </c>
      <c r="C21" s="18"/>
      <c r="D21" s="18"/>
      <c r="E21" s="20"/>
      <c r="F21" s="20"/>
      <c r="G21" s="20" t="n">
        <v>1</v>
      </c>
      <c r="H21" s="21" t="n">
        <f aca="false">E21*F21*G21</f>
        <v>0</v>
      </c>
      <c r="I21" s="19"/>
      <c r="J21" s="20"/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121</v>
      </c>
      <c r="C22" s="18" t="s">
        <v>122</v>
      </c>
      <c r="D22" s="18" t="s">
        <v>84</v>
      </c>
      <c r="E22" s="20" t="n">
        <v>22</v>
      </c>
      <c r="F22" s="20" t="n">
        <v>8</v>
      </c>
      <c r="G22" s="20" t="n">
        <v>1</v>
      </c>
      <c r="H22" s="21" t="n">
        <f aca="false">E22*F22*G22</f>
        <v>176</v>
      </c>
      <c r="I22" s="19" t="s">
        <v>78</v>
      </c>
      <c r="J22" s="20" t="s">
        <v>101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121</v>
      </c>
      <c r="C23" s="18"/>
      <c r="D23" s="18"/>
      <c r="E23" s="20"/>
      <c r="F23" s="20"/>
      <c r="G23" s="20" t="n">
        <v>1</v>
      </c>
      <c r="H23" s="21" t="n">
        <f aca="false">E23*F23*G23</f>
        <v>0</v>
      </c>
      <c r="I23" s="19"/>
      <c r="J23" s="20"/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121</v>
      </c>
      <c r="C24" s="18"/>
      <c r="D24" s="18"/>
      <c r="E24" s="20"/>
      <c r="F24" s="20"/>
      <c r="G24" s="20" t="n">
        <v>1</v>
      </c>
      <c r="H24" s="21" t="n">
        <f aca="false">E24*F24*G24</f>
        <v>0</v>
      </c>
      <c r="I24" s="19"/>
      <c r="J24" s="20"/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121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121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123</v>
      </c>
      <c r="C27" s="18" t="s">
        <v>124</v>
      </c>
      <c r="D27" s="18" t="s">
        <v>84</v>
      </c>
      <c r="E27" s="20" t="n">
        <v>22</v>
      </c>
      <c r="F27" s="20" t="n">
        <v>20</v>
      </c>
      <c r="G27" s="20" t="n">
        <v>1</v>
      </c>
      <c r="H27" s="21" t="n">
        <f aca="false">E27*F27*G27</f>
        <v>440</v>
      </c>
      <c r="I27" s="19" t="s">
        <v>82</v>
      </c>
      <c r="J27" s="20" t="s">
        <v>101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123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123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123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125</v>
      </c>
      <c r="D31" s="18" t="s">
        <v>106</v>
      </c>
      <c r="E31" s="20" t="n">
        <v>1</v>
      </c>
      <c r="F31" s="20" t="n">
        <v>100</v>
      </c>
      <c r="G31" s="20" t="n">
        <v>1</v>
      </c>
      <c r="H31" s="21" t="n">
        <f aca="false">E31*F31*G31</f>
        <v>100</v>
      </c>
      <c r="I31" s="19" t="s">
        <v>82</v>
      </c>
      <c r="J31" s="20" t="s">
        <v>118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126</v>
      </c>
      <c r="C34" s="18" t="s">
        <v>127</v>
      </c>
      <c r="D34" s="18" t="s">
        <v>106</v>
      </c>
      <c r="E34" s="20" t="n">
        <v>1</v>
      </c>
      <c r="F34" s="20" t="n">
        <v>250</v>
      </c>
      <c r="G34" s="20" t="n">
        <v>1</v>
      </c>
      <c r="H34" s="21" t="n">
        <f aca="false">E34*F34*G34</f>
        <v>250</v>
      </c>
      <c r="I34" s="19" t="s">
        <v>117</v>
      </c>
      <c r="J34" s="20" t="s">
        <v>118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126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128</v>
      </c>
      <c r="H36" s="23" t="n">
        <f aca="false">SUM(H5:H35)</f>
        <v>4686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"Semences &amp; Intrants,Opérations mécanisées,Main d'œuvre,Équipement &amp; petit matériel,Récolte &amp; post-récolte,Logistique,Commercialisation,Réserve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129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130</v>
      </c>
    </row>
    <row r="4" customFormat="false" ht="15" hidden="false" customHeight="true" outlineLevel="0" collapsed="false">
      <c r="A4" s="4" t="s">
        <v>45</v>
      </c>
      <c r="B4" s="4" t="s">
        <v>131</v>
      </c>
      <c r="C4" s="4" t="s">
        <v>132</v>
      </c>
      <c r="D4" s="4" t="s">
        <v>133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1800</v>
      </c>
      <c r="C5" s="12"/>
      <c r="D5" s="12"/>
    </row>
    <row r="6" customFormat="false" ht="15" hidden="false" customHeight="true" outlineLevel="0" collapsed="false">
      <c r="A6" s="6" t="s">
        <v>107</v>
      </c>
      <c r="B6" s="8" t="n">
        <f aca="false">SUMIF(4_Besoins_Financiers!B:B,A6,4_Besoins_Financiers!H:H)</f>
        <v>200</v>
      </c>
      <c r="C6" s="12"/>
      <c r="D6" s="12"/>
    </row>
    <row r="7" customFormat="false" ht="15" hidden="false" customHeight="true" outlineLevel="0" collapsed="false">
      <c r="A7" s="6" t="s">
        <v>110</v>
      </c>
      <c r="B7" s="8" t="n">
        <f aca="false">SUMIF(4_Besoins_Financiers!B:B,A7,4_Besoins_Financiers!H:H)</f>
        <v>1600</v>
      </c>
      <c r="C7" s="12"/>
      <c r="D7" s="12"/>
    </row>
    <row r="8" customFormat="false" ht="15" hidden="false" customHeight="true" outlineLevel="0" collapsed="false">
      <c r="A8" s="6" t="s">
        <v>119</v>
      </c>
      <c r="B8" s="8" t="n">
        <f aca="false">SUMIF(4_Besoins_Financiers!B:B,A8,4_Besoins_Financiers!H:H)</f>
        <v>120</v>
      </c>
      <c r="C8" s="12"/>
      <c r="D8" s="12"/>
    </row>
    <row r="9" customFormat="false" ht="15" hidden="false" customHeight="true" outlineLevel="0" collapsed="false">
      <c r="A9" s="6" t="s">
        <v>121</v>
      </c>
      <c r="B9" s="8" t="n">
        <f aca="false">SUMIF(4_Besoins_Financiers!B:B,A9,4_Besoins_Financiers!H:H)</f>
        <v>176</v>
      </c>
      <c r="C9" s="12"/>
      <c r="D9" s="12"/>
    </row>
    <row r="10" customFormat="false" ht="15" hidden="false" customHeight="true" outlineLevel="0" collapsed="false">
      <c r="A10" s="6" t="s">
        <v>123</v>
      </c>
      <c r="B10" s="8" t="n">
        <f aca="false">SUMIF(4_Besoins_Financiers!B:B,A10,4_Besoins_Financiers!H:H)</f>
        <v>440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100</v>
      </c>
      <c r="C11" s="12"/>
      <c r="D11" s="12"/>
    </row>
    <row r="12" customFormat="false" ht="15" hidden="false" customHeight="true" outlineLevel="0" collapsed="false">
      <c r="A12" s="6" t="s">
        <v>126</v>
      </c>
      <c r="B12" s="8" t="n">
        <f aca="false">SUMIF(4_Besoins_Financiers!B:B,A12,4_Besoins_Financiers!H:H)</f>
        <v>250</v>
      </c>
      <c r="C12" s="12"/>
      <c r="D12" s="12"/>
    </row>
    <row r="13" customFormat="false" ht="15" hidden="false" customHeight="true" outlineLevel="0" collapsed="false">
      <c r="A13" s="22" t="s">
        <v>134</v>
      </c>
      <c r="B13" s="23" t="n">
        <f aca="false">SUM(B5:B12)</f>
        <v>4686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135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136</v>
      </c>
      <c r="C4" s="4" t="s">
        <v>137</v>
      </c>
      <c r="D4" s="4" t="s">
        <v>71</v>
      </c>
    </row>
    <row r="6" customFormat="false" ht="15" hidden="false" customHeight="true" outlineLevel="0" collapsed="false">
      <c r="A6" s="6" t="s">
        <v>138</v>
      </c>
      <c r="B6" s="8" t="n">
        <f aca="false">5_Synthese_Besoins!B13</f>
        <v>4686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1500</v>
      </c>
      <c r="C7" s="25" t="n">
        <f aca="false">B7/$B$6</f>
        <v>0.320102432778489</v>
      </c>
      <c r="D7" s="12" t="s">
        <v>139</v>
      </c>
    </row>
    <row r="8" customFormat="false" ht="15" hidden="false" customHeight="true" outlineLevel="0" collapsed="false">
      <c r="A8" s="6" t="s">
        <v>12</v>
      </c>
      <c r="B8" s="8" t="n">
        <f aca="false">B6-B7-B9</f>
        <v>3186</v>
      </c>
      <c r="C8" s="25" t="n">
        <f aca="false">B8/$B$6</f>
        <v>0.679897567221511</v>
      </c>
      <c r="D8" s="12" t="s">
        <v>140</v>
      </c>
    </row>
    <row r="9" customFormat="false" ht="15" hidden="false" customHeight="true" outlineLevel="0" collapsed="false">
      <c r="A9" s="6" t="s">
        <v>141</v>
      </c>
      <c r="B9" s="8" t="n">
        <v>0</v>
      </c>
      <c r="C9" s="25" t="n">
        <f aca="false">B9/$B$6</f>
        <v>0</v>
      </c>
      <c r="D9" s="12" t="s">
        <v>142</v>
      </c>
    </row>
    <row r="10" customFormat="false" ht="15" hidden="false" customHeight="true" outlineLevel="0" collapsed="false">
      <c r="A10" s="6" t="s">
        <v>143</v>
      </c>
      <c r="B10" s="8" t="n">
        <f aca="false">B6-B7-B8-B9</f>
        <v>0</v>
      </c>
      <c r="C10" s="25" t="n">
        <f aca="false">B10/$B$6</f>
        <v>0</v>
      </c>
      <c r="D10" s="12" t="s">
        <v>144</v>
      </c>
    </row>
    <row r="11" customFormat="false" ht="15" hidden="false" customHeight="true" outlineLevel="0" collapsed="false">
      <c r="A11" s="1" t="s">
        <v>145</v>
      </c>
      <c r="B11" s="8" t="n">
        <f aca="false">SUMIF(4_Besoins_Financiers!J:J,"*Crédit*",4_Besoins_Financiers!H:H)</f>
        <v>3856</v>
      </c>
      <c r="D11" s="1" t="s">
        <v>146</v>
      </c>
    </row>
    <row r="12" customFormat="false" ht="15" hidden="false" customHeight="true" outlineLevel="0" collapsed="false">
      <c r="A12" s="1" t="s">
        <v>147</v>
      </c>
      <c r="B12" s="8" t="n">
        <f aca="false">16_Tresorerie_Mensuelle!B21</f>
        <v>1725.83333333333</v>
      </c>
      <c r="D12" s="1" t="s">
        <v>148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149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150</v>
      </c>
      <c r="B4" s="4" t="s">
        <v>151</v>
      </c>
      <c r="C4" s="4" t="s">
        <v>152</v>
      </c>
      <c r="D4" s="4" t="s">
        <v>153</v>
      </c>
      <c r="E4" s="4" t="s">
        <v>136</v>
      </c>
      <c r="F4" s="4" t="s">
        <v>154</v>
      </c>
      <c r="G4" s="4" t="s">
        <v>155</v>
      </c>
      <c r="H4" s="4" t="s">
        <v>156</v>
      </c>
    </row>
    <row r="5" customFormat="false" ht="27.75" hidden="false" customHeight="true" outlineLevel="0" collapsed="false">
      <c r="A5" s="17" t="n">
        <v>1</v>
      </c>
      <c r="B5" s="17" t="s">
        <v>157</v>
      </c>
      <c r="C5" s="17" t="s">
        <v>158</v>
      </c>
      <c r="D5" s="17" t="s">
        <v>159</v>
      </c>
      <c r="E5" s="26" t="n">
        <f aca="false">SUMIF(4_Besoins_Financiers!I:I,"Préparation",4_Besoins_Financiers!H:H)</f>
        <v>1960</v>
      </c>
      <c r="F5" s="17" t="s">
        <v>160</v>
      </c>
      <c r="G5" s="17" t="s">
        <v>161</v>
      </c>
      <c r="H5" s="17" t="s">
        <v>162</v>
      </c>
    </row>
    <row r="6" customFormat="false" ht="15" hidden="false" customHeight="true" outlineLevel="0" collapsed="false">
      <c r="A6" s="17" t="n">
        <v>2</v>
      </c>
      <c r="B6" s="17" t="s">
        <v>163</v>
      </c>
      <c r="C6" s="17" t="s">
        <v>164</v>
      </c>
      <c r="D6" s="17" t="s">
        <v>165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2010</v>
      </c>
      <c r="F6" s="17" t="s">
        <v>166</v>
      </c>
      <c r="G6" s="17" t="s">
        <v>167</v>
      </c>
      <c r="H6" s="17" t="s">
        <v>162</v>
      </c>
    </row>
    <row r="7" customFormat="false" ht="15" hidden="false" customHeight="true" outlineLevel="0" collapsed="false">
      <c r="A7" s="17" t="n">
        <v>3</v>
      </c>
      <c r="B7" s="17" t="s">
        <v>168</v>
      </c>
      <c r="C7" s="17" t="s">
        <v>169</v>
      </c>
      <c r="D7" s="17" t="s">
        <v>170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716</v>
      </c>
      <c r="F7" s="17" t="s">
        <v>166</v>
      </c>
      <c r="G7" s="17" t="s">
        <v>171</v>
      </c>
      <c r="H7" s="17" t="s">
        <v>162</v>
      </c>
    </row>
    <row r="8" customFormat="false" ht="15" hidden="false" customHeight="true" outlineLevel="0" collapsed="false">
      <c r="B8" s="4" t="s">
        <v>172</v>
      </c>
      <c r="E8" s="8" t="n">
        <f aca="false">SUM(E5:E7)</f>
        <v>4686</v>
      </c>
    </row>
    <row r="9" customFormat="false" ht="15" hidden="false" customHeight="true" outlineLevel="0" collapsed="false">
      <c r="B9" s="1" t="s">
        <v>173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175</v>
      </c>
      <c r="B2" s="7" t="n">
        <v>11</v>
      </c>
      <c r="C2" s="6" t="s">
        <v>176</v>
      </c>
      <c r="D2" s="27" t="n">
        <f aca="false">2_Identification_Projet!B8</f>
        <v>2</v>
      </c>
    </row>
    <row r="4" customFormat="false" ht="27.75" hidden="false" customHeight="true" outlineLevel="0" collapsed="false">
      <c r="A4" s="4" t="s">
        <v>177</v>
      </c>
      <c r="B4" s="4" t="s">
        <v>178</v>
      </c>
      <c r="C4" s="4" t="s">
        <v>68</v>
      </c>
      <c r="D4" s="4" t="s">
        <v>179</v>
      </c>
      <c r="E4" s="4" t="s">
        <v>180</v>
      </c>
      <c r="F4" s="4" t="s">
        <v>181</v>
      </c>
      <c r="G4" s="4" t="s">
        <v>182</v>
      </c>
      <c r="H4" s="4" t="s">
        <v>183</v>
      </c>
      <c r="I4" s="4" t="s">
        <v>184</v>
      </c>
      <c r="J4" s="4" t="s">
        <v>71</v>
      </c>
    </row>
    <row r="5" customFormat="false" ht="15" hidden="false" customHeight="true" outlineLevel="0" collapsed="false">
      <c r="A5" s="17" t="s">
        <v>185</v>
      </c>
      <c r="B5" s="27" t="n">
        <f aca="false">B2*D2</f>
        <v>22</v>
      </c>
      <c r="C5" s="17" t="s">
        <v>84</v>
      </c>
      <c r="D5" s="28" t="n">
        <v>0.15</v>
      </c>
      <c r="E5" s="16" t="n">
        <f aca="false">B5*(1-D5)</f>
        <v>18.7</v>
      </c>
      <c r="F5" s="29" t="n">
        <v>400</v>
      </c>
      <c r="G5" s="26" t="n">
        <f aca="false">E5*F5</f>
        <v>7480</v>
      </c>
      <c r="H5" s="15" t="n">
        <v>11</v>
      </c>
      <c r="I5" s="15" t="s">
        <v>186</v>
      </c>
      <c r="J5" s="17" t="s">
        <v>187</v>
      </c>
    </row>
    <row r="6" customFormat="false" ht="15" hidden="false" customHeight="true" outlineLevel="0" collapsed="false">
      <c r="A6" s="17" t="s">
        <v>188</v>
      </c>
      <c r="B6" s="15" t="n">
        <v>1.6</v>
      </c>
      <c r="C6" s="17" t="s">
        <v>84</v>
      </c>
      <c r="D6" s="28" t="n">
        <v>0.08</v>
      </c>
      <c r="E6" s="16" t="n">
        <f aca="false">B6*(1-D6)</f>
        <v>1.472</v>
      </c>
      <c r="F6" s="29" t="n">
        <v>900</v>
      </c>
      <c r="G6" s="26" t="n">
        <f aca="false">E6*F6</f>
        <v>1324.8</v>
      </c>
      <c r="H6" s="15" t="n">
        <v>5</v>
      </c>
      <c r="I6" s="15" t="s">
        <v>189</v>
      </c>
      <c r="J6" s="17" t="s">
        <v>190</v>
      </c>
    </row>
    <row r="7" customFormat="false" ht="15" hidden="false" customHeight="true" outlineLevel="0" collapsed="false">
      <c r="A7" s="1" t="s">
        <v>191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192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193</v>
      </c>
      <c r="G9" s="23" t="n">
        <f aca="false">SUM(G5:G8)</f>
        <v>8804.8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136</v>
      </c>
      <c r="C4" s="4" t="s">
        <v>133</v>
      </c>
    </row>
    <row r="6" customFormat="false" ht="15" hidden="false" customHeight="true" outlineLevel="0" collapsed="false">
      <c r="A6" s="6" t="s">
        <v>195</v>
      </c>
      <c r="B6" s="8" t="n">
        <f aca="false">8_Previsions_Ventes!G9</f>
        <v>8804.8</v>
      </c>
      <c r="C6" s="12"/>
    </row>
    <row r="7" customFormat="false" ht="15" hidden="false" customHeight="true" outlineLevel="0" collapsed="false">
      <c r="A7" s="6" t="s">
        <v>196</v>
      </c>
      <c r="B7" s="8" t="n">
        <f aca="false">5_Synthese_Besoins!B13-5_Synthese_Besoins!B8-5_Synthese_Besoins!B12</f>
        <v>4316</v>
      </c>
      <c r="C7" s="12" t="s">
        <v>197</v>
      </c>
    </row>
    <row r="8" customFormat="false" ht="15" hidden="false" customHeight="true" outlineLevel="0" collapsed="false">
      <c r="A8" s="6" t="s">
        <v>198</v>
      </c>
      <c r="B8" s="8" t="n">
        <f aca="false">B6-B7</f>
        <v>4488.8</v>
      </c>
      <c r="C8" s="12"/>
    </row>
    <row r="9" customFormat="false" ht="15" hidden="false" customHeight="true" outlineLevel="0" collapsed="false">
      <c r="A9" s="6" t="s">
        <v>199</v>
      </c>
      <c r="B9" s="8" t="n">
        <f aca="false">10_Capacite_Remboursement!B9</f>
        <v>549.585</v>
      </c>
      <c r="C9" s="12"/>
    </row>
    <row r="10" customFormat="false" ht="15" hidden="false" customHeight="true" outlineLevel="0" collapsed="false">
      <c r="A10" s="6" t="s">
        <v>200</v>
      </c>
      <c r="B10" s="8" t="n">
        <f aca="false">B8-B9</f>
        <v>3939.215</v>
      </c>
      <c r="C10" s="12"/>
    </row>
    <row r="11" customFormat="false" ht="15" hidden="false" customHeight="true" outlineLevel="0" collapsed="false">
      <c r="A11" s="6" t="s">
        <v>201</v>
      </c>
      <c r="B11" s="24" t="n">
        <v>0</v>
      </c>
      <c r="C11" s="12" t="s">
        <v>190</v>
      </c>
    </row>
    <row r="12" customFormat="false" ht="15" hidden="false" customHeight="true" outlineLevel="0" collapsed="false">
      <c r="A12" s="6" t="s">
        <v>21</v>
      </c>
      <c r="B12" s="8" t="n">
        <f aca="false">B10-B11</f>
        <v>3939.215</v>
      </c>
      <c r="C12" s="12"/>
    </row>
    <row r="13" customFormat="false" ht="15" hidden="false" customHeight="true" outlineLevel="0" collapsed="false">
      <c r="A13" s="6" t="s">
        <v>202</v>
      </c>
      <c r="B13" s="25" t="n">
        <f aca="false">IFERROR(B12/B6,0)</f>
        <v>0.447394035071779</v>
      </c>
      <c r="C13" s="12"/>
    </row>
    <row r="15" customFormat="false" ht="15" hidden="false" customHeight="true" outlineLevel="0" collapsed="false">
      <c r="A15" s="1" t="s">
        <v>203</v>
      </c>
      <c r="B15" s="8" t="n">
        <f aca="false">5_Synthese_Besoins!B8</f>
        <v>120</v>
      </c>
      <c r="C15" s="1" t="s">
        <v>204</v>
      </c>
    </row>
    <row r="16" customFormat="false" ht="15" hidden="false" customHeight="true" outlineLevel="0" collapsed="false">
      <c r="A16" s="1" t="s">
        <v>205</v>
      </c>
      <c r="B16" s="8" t="n">
        <f aca="false">5_Synthese_Besoins!B12</f>
        <v>250</v>
      </c>
      <c r="C16" s="1" t="s">
        <v>206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208</v>
      </c>
      <c r="B4" s="4" t="s">
        <v>5</v>
      </c>
      <c r="C4" s="4" t="s">
        <v>133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3186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12</v>
      </c>
      <c r="C8" s="12"/>
    </row>
    <row r="9" customFormat="false" ht="15" hidden="false" customHeight="true" outlineLevel="0" collapsed="false">
      <c r="A9" s="6" t="s">
        <v>209</v>
      </c>
      <c r="B9" s="8" t="n">
        <f aca="false">11_Echeancier!D29</f>
        <v>549.585</v>
      </c>
      <c r="C9" s="12"/>
    </row>
    <row r="10" customFormat="false" ht="15" hidden="false" customHeight="true" outlineLevel="0" collapsed="false">
      <c r="A10" s="6" t="s">
        <v>210</v>
      </c>
      <c r="B10" s="8" t="n">
        <f aca="false">B6+B9</f>
        <v>3735.585</v>
      </c>
      <c r="C10" s="12"/>
    </row>
    <row r="11" customFormat="false" ht="15" hidden="false" customHeight="true" outlineLevel="0" collapsed="false">
      <c r="A11" s="6" t="s">
        <v>211</v>
      </c>
      <c r="B11" s="8" t="n">
        <f aca="false">9_Compte_Exploitation!B8</f>
        <v>4488.8</v>
      </c>
      <c r="C11" s="12"/>
    </row>
    <row r="12" customFormat="false" ht="15" hidden="false" customHeight="true" outlineLevel="0" collapsed="false">
      <c r="A12" s="6" t="s">
        <v>212</v>
      </c>
      <c r="B12" s="9" t="n">
        <f aca="false">IFERROR(B11/B10,0)</f>
        <v>1.20163240831088</v>
      </c>
      <c r="C12" s="12"/>
    </row>
    <row r="13" customFormat="false" ht="15" hidden="false" customHeight="true" outlineLevel="0" collapsed="false">
      <c r="A13" s="6" t="s">
        <v>213</v>
      </c>
      <c r="B13" s="25" t="n">
        <f aca="false">B11-B10</f>
        <v>753.214999999999</v>
      </c>
      <c r="C13" s="12"/>
    </row>
    <row r="14" customFormat="false" ht="15" hidden="false" customHeight="true" outlineLevel="0" collapsed="false">
      <c r="A14" s="6" t="s">
        <v>214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10</v>
      </c>
      <c r="C15" s="1" t="s">
        <v>215</v>
      </c>
    </row>
    <row r="17" customFormat="false" ht="15" hidden="false" customHeight="true" outlineLevel="0" collapsed="false">
      <c r="A17" s="1" t="s">
        <v>216</v>
      </c>
      <c r="B17" s="11" t="n">
        <v>0.02</v>
      </c>
    </row>
    <row r="18" customFormat="false" ht="15" hidden="false" customHeight="true" outlineLevel="0" collapsed="false">
      <c r="A18" s="1" t="s">
        <v>217</v>
      </c>
      <c r="B18" s="11" t="n">
        <v>0.01</v>
      </c>
    </row>
    <row r="19" customFormat="false" ht="15" hidden="false" customHeight="true" outlineLevel="0" collapsed="false">
      <c r="A19" s="1" t="s">
        <v>218</v>
      </c>
      <c r="B19" s="8" t="n">
        <f aca="false">B6*(B17+B18)</f>
        <v>95.58</v>
      </c>
    </row>
    <row r="20" customFormat="false" ht="15" hidden="false" customHeight="true" outlineLevel="0" collapsed="false">
      <c r="A20" s="1" t="s">
        <v>219</v>
      </c>
      <c r="B20" s="8" t="n">
        <f aca="false">B9+B19</f>
        <v>645.165</v>
      </c>
    </row>
    <row r="21" customFormat="false" ht="15" hidden="false" customHeight="true" outlineLevel="0" collapsed="false">
      <c r="A21" s="1" t="s">
        <v>220</v>
      </c>
      <c r="B21" s="25" t="n">
        <f aca="false">IFERROR(B20/B6*12/B8,0)</f>
        <v>0.2025</v>
      </c>
      <c r="C21" s="1" t="s">
        <v>221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222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223</v>
      </c>
    </row>
    <row r="4" customFormat="false" ht="27.75" hidden="false" customHeight="true" outlineLevel="0" collapsed="false">
      <c r="A4" s="4" t="s">
        <v>224</v>
      </c>
      <c r="B4" s="4" t="s">
        <v>225</v>
      </c>
      <c r="C4" s="4" t="s">
        <v>226</v>
      </c>
      <c r="D4" s="4" t="s">
        <v>227</v>
      </c>
      <c r="E4" s="4" t="s">
        <v>228</v>
      </c>
      <c r="F4" s="4" t="s">
        <v>229</v>
      </c>
      <c r="G4" s="4" t="s">
        <v>230</v>
      </c>
      <c r="H4" s="4" t="s">
        <v>231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3186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3186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3186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0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0</v>
      </c>
      <c r="E8" s="8" t="n">
        <f aca="false">C8+D8</f>
        <v>0</v>
      </c>
      <c r="F8" s="8" t="n">
        <f aca="false">F7-C8</f>
        <v>3186</v>
      </c>
      <c r="G8" s="12" t="str">
        <f aca="false">IF(A8&gt;1_Accueil_Parametres!$B$17,"—",IF(A8&lt;=1_Accueil_Parametres!$B$20,"Différé — intérêts capitalisés","Ventes du cycle"))</f>
        <v>Différé — intérêts capitalisés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0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0</v>
      </c>
      <c r="E9" s="8" t="n">
        <f aca="false">C9+D9</f>
        <v>0</v>
      </c>
      <c r="F9" s="8" t="n">
        <f aca="false">F8-C9</f>
        <v>3186</v>
      </c>
      <c r="G9" s="12" t="str">
        <f aca="false">IF(A9&gt;1_Accueil_Parametres!$B$17,"—",IF(A9&lt;=1_Accueil_Parametres!$B$20,"Différé — intérêts capitalisés","Ventes du cycle"))</f>
        <v>Différé — intérêts capitalisés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0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0</v>
      </c>
      <c r="E10" s="8" t="n">
        <f aca="false">C10+D10</f>
        <v>0</v>
      </c>
      <c r="F10" s="8" t="n">
        <f aca="false">F9-C10</f>
        <v>3186</v>
      </c>
      <c r="G10" s="12" t="str">
        <f aca="false">IF(A10&gt;1_Accueil_Parametres!$B$17,"—",IF(A10&lt;=1_Accueil_Parametres!$B$20,"Différé — intérêts capitalisés","Ventes du cycle"))</f>
        <v>Différé — intérêts capitalisés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0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0</v>
      </c>
      <c r="E11" s="8" t="n">
        <f aca="false">C11+D11</f>
        <v>0</v>
      </c>
      <c r="F11" s="8" t="n">
        <f aca="false">F10-C11</f>
        <v>3186</v>
      </c>
      <c r="G11" s="12" t="str">
        <f aca="false">IF(A11&gt;1_Accueil_Parametres!$B$17,"—",IF(A11&lt;=1_Accueil_Parametres!$B$20,"Différé — intérêts capitalisés","Ventes du cycle"))</f>
        <v>Différé — intérêts capitalisés</v>
      </c>
      <c r="H11" s="12" t="str">
        <f aca="false">IF(A11&gt;1_Accueil_Parametres!$B$17,"—","Prévu")</f>
        <v>Prévu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0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0</v>
      </c>
      <c r="E12" s="8" t="n">
        <f aca="false">C12+D12</f>
        <v>0</v>
      </c>
      <c r="F12" s="8" t="n">
        <f aca="false">F11-C12</f>
        <v>3186</v>
      </c>
      <c r="G12" s="12" t="str">
        <f aca="false">IF(A12&gt;1_Accueil_Parametres!$B$17,"—",IF(A12&lt;=1_Accueil_Parametres!$B$20,"Différé — intérêts capitalisés","Ventes du cycle"))</f>
        <v>Différé — intérêts capitalisés</v>
      </c>
      <c r="H12" s="12" t="str">
        <f aca="false">IF(A12&gt;1_Accueil_Parametres!$B$17,"—","Prévu")</f>
        <v>Prévu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3186</v>
      </c>
      <c r="G13" s="1" t="str">
        <f aca="false">IF(A13&gt;1_Accueil_Parametres!$B$17,"—",IF(A13&lt;=1_Accueil_Parametres!$B$20,"Différé — intérêts capitalisés","Ventes du cycle"))</f>
        <v>Différé — intérêts capitalisés</v>
      </c>
      <c r="H13" s="1" t="str">
        <f aca="false">IF(A13&gt;1_Accueil_Parametres!$B$17,"—","Prévu")</f>
        <v>Prévu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3186</v>
      </c>
      <c r="G14" s="1" t="str">
        <f aca="false">IF(A14&gt;1_Accueil_Parametres!$B$17,"—",IF(A14&lt;=1_Accueil_Parametres!$B$20,"Différé — intérêts capitalisés","Ventes du cycle"))</f>
        <v>Différé — intérêts capitalisés</v>
      </c>
      <c r="H14" s="1" t="str">
        <f aca="false">IF(A14&gt;1_Accueil_Parametres!$B$17,"—","Prévu")</f>
        <v>Prévu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1593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525.69</v>
      </c>
      <c r="E15" s="33" t="n">
        <f aca="false">C15+D15</f>
        <v>2118.69</v>
      </c>
      <c r="F15" s="33" t="n">
        <f aca="false">F14-C15</f>
        <v>1593</v>
      </c>
      <c r="G15" s="1" t="str">
        <f aca="false">IF(A15&gt;1_Accueil_Parametres!$B$17,"—",IF(A15&lt;=1_Accueil_Parametres!$B$20,"Différé — intérêts capitalisés","Ventes du cycle"))</f>
        <v>Ventes du cycle</v>
      </c>
      <c r="H15" s="1" t="str">
        <f aca="false">IF(A15&gt;1_Accueil_Parametres!$B$17,"—","Prévu")</f>
        <v>Prévu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1593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23.895</v>
      </c>
      <c r="E16" s="33" t="n">
        <f aca="false">C16+D16</f>
        <v>1616.895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Ventes du cycle</v>
      </c>
      <c r="H16" s="1" t="str">
        <f aca="false">IF(A16&gt;1_Accueil_Parametres!$B$17,"—","Prévu")</f>
        <v>Prévu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232</v>
      </c>
      <c r="C29" s="8" t="n">
        <f aca="false">SUM(C5:C28)</f>
        <v>3186</v>
      </c>
      <c r="D29" s="8" t="n">
        <f aca="false">SUM(D5:D28)</f>
        <v>549.585</v>
      </c>
      <c r="E29" s="8" t="n">
        <f aca="false">SUM(E5:E28)</f>
        <v>3735.585</v>
      </c>
      <c r="G29" s="1" t="s">
        <v>233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235</v>
      </c>
      <c r="B4" s="4" t="s">
        <v>236</v>
      </c>
      <c r="C4" s="4" t="s">
        <v>237</v>
      </c>
      <c r="D4" s="4" t="s">
        <v>238</v>
      </c>
    </row>
    <row r="5" customFormat="false" ht="15" hidden="false" customHeight="true" outlineLevel="0" collapsed="false">
      <c r="A5" s="6" t="s">
        <v>239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240</v>
      </c>
      <c r="B6" s="35" t="n">
        <v>0.2</v>
      </c>
      <c r="C6" s="36" t="n">
        <f aca="false">MAX(0,MIN(100,(10_Capacite_Remboursement!B12-0.8)/0.8*100))</f>
        <v>50.20405103886</v>
      </c>
      <c r="D6" s="36" t="n">
        <f aca="false">B6*C6</f>
        <v>10.040810207772</v>
      </c>
    </row>
    <row r="7" customFormat="false" ht="15" hidden="false" customHeight="true" outlineLevel="0" collapsed="false">
      <c r="A7" s="6" t="s">
        <v>241</v>
      </c>
      <c r="B7" s="35" t="n">
        <v>0.1</v>
      </c>
      <c r="C7" s="36" t="n">
        <f aca="false">MAX(0,MIN(100,(17_Sensibilite_StressTest!B16-0.6)/0.6*100))</f>
        <v>0</v>
      </c>
      <c r="D7" s="36" t="n">
        <f aca="false">B7*C7</f>
        <v>0</v>
      </c>
    </row>
    <row r="8" customFormat="false" ht="15" hidden="false" customHeight="true" outlineLevel="0" collapsed="false">
      <c r="A8" s="6" t="s">
        <v>242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243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244</v>
      </c>
      <c r="B10" s="37" t="n">
        <f aca="false">SUM(B5:B9)</f>
        <v>1</v>
      </c>
      <c r="C10" s="12"/>
      <c r="D10" s="36" t="n">
        <f aca="false">SUM(D5:D9)</f>
        <v>60.8741435411053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245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246</v>
      </c>
      <c r="B12" s="37" t="n">
        <f aca="false">15_Garanties_Collateraux!B14</f>
        <v>3.23032670920351</v>
      </c>
      <c r="C12" s="1" t="s">
        <v>247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248</v>
      </c>
    </row>
    <row r="2" customFormat="false" ht="15" hidden="false" customHeight="true" outlineLevel="0" collapsed="false">
      <c r="A2" s="1" t="s">
        <v>249</v>
      </c>
    </row>
    <row r="4" customFormat="false" ht="27.75" hidden="false" customHeight="true" outlineLevel="0" collapsed="false">
      <c r="A4" s="4" t="s">
        <v>89</v>
      </c>
      <c r="B4" s="4" t="s">
        <v>250</v>
      </c>
      <c r="C4" s="4" t="s">
        <v>251</v>
      </c>
      <c r="D4" s="4" t="s">
        <v>252</v>
      </c>
      <c r="E4" s="4" t="s">
        <v>253</v>
      </c>
      <c r="F4" s="4" t="s">
        <v>254</v>
      </c>
      <c r="G4" s="4" t="s">
        <v>255</v>
      </c>
      <c r="H4" s="4" t="s">
        <v>256</v>
      </c>
      <c r="I4" s="4" t="s">
        <v>257</v>
      </c>
      <c r="J4" s="4" t="s">
        <v>258</v>
      </c>
    </row>
    <row r="5" customFormat="false" ht="15" hidden="false" customHeight="true" outlineLevel="0" collapsed="false">
      <c r="A5" s="1" t="n">
        <v>1</v>
      </c>
      <c r="B5" s="7" t="s">
        <v>259</v>
      </c>
      <c r="C5" s="7" t="s">
        <v>260</v>
      </c>
      <c r="D5" s="7" t="s">
        <v>261</v>
      </c>
      <c r="E5" s="39" t="n">
        <v>5000</v>
      </c>
      <c r="F5" s="35" t="n">
        <v>0.3</v>
      </c>
      <c r="G5" s="8" t="n">
        <f aca="false">E5*(1-F5)</f>
        <v>3500</v>
      </c>
      <c r="H5" s="7" t="s">
        <v>262</v>
      </c>
      <c r="I5" s="7" t="s">
        <v>263</v>
      </c>
      <c r="J5" s="7"/>
    </row>
    <row r="6" customFormat="false" ht="15" hidden="false" customHeight="true" outlineLevel="0" collapsed="false">
      <c r="A6" s="1" t="n">
        <v>2</v>
      </c>
      <c r="B6" s="7" t="s">
        <v>264</v>
      </c>
      <c r="C6" s="7" t="s">
        <v>265</v>
      </c>
      <c r="D6" s="7" t="s">
        <v>261</v>
      </c>
      <c r="E6" s="39" t="n">
        <v>5000</v>
      </c>
      <c r="F6" s="35" t="n">
        <v>0.4</v>
      </c>
      <c r="G6" s="8" t="n">
        <f aca="false">E6*(1-F6)</f>
        <v>3000</v>
      </c>
      <c r="H6" s="7" t="s">
        <v>266</v>
      </c>
      <c r="I6" s="7" t="s">
        <v>267</v>
      </c>
      <c r="J6" s="7"/>
    </row>
    <row r="7" customFormat="false" ht="15" hidden="false" customHeight="true" outlineLevel="0" collapsed="false">
      <c r="A7" s="1" t="n">
        <v>3</v>
      </c>
      <c r="B7" s="7" t="s">
        <v>268</v>
      </c>
      <c r="C7" s="7" t="s">
        <v>269</v>
      </c>
      <c r="D7" s="7" t="s">
        <v>270</v>
      </c>
      <c r="E7" s="39" t="n">
        <v>2000</v>
      </c>
      <c r="F7" s="35" t="n">
        <v>0.5</v>
      </c>
      <c r="G7" s="8" t="n">
        <f aca="false">E7*(1-F7)</f>
        <v>1000</v>
      </c>
      <c r="H7" s="7" t="s">
        <v>271</v>
      </c>
      <c r="I7" s="7" t="s">
        <v>272</v>
      </c>
      <c r="J7" s="7"/>
    </row>
    <row r="8" customFormat="false" ht="15" hidden="false" customHeight="true" outlineLevel="0" collapsed="false">
      <c r="A8" s="1" t="n">
        <v>4</v>
      </c>
      <c r="B8" s="7" t="s">
        <v>273</v>
      </c>
      <c r="C8" s="7" t="s">
        <v>274</v>
      </c>
      <c r="D8" s="7" t="s">
        <v>261</v>
      </c>
      <c r="E8" s="39" t="n">
        <v>210</v>
      </c>
      <c r="F8" s="35" t="n">
        <v>0.5</v>
      </c>
      <c r="G8" s="8" t="n">
        <f aca="false">E8*(1-F8)</f>
        <v>105</v>
      </c>
      <c r="H8" s="7" t="s">
        <v>275</v>
      </c>
      <c r="I8" s="7" t="s">
        <v>276</v>
      </c>
      <c r="J8" s="7"/>
    </row>
    <row r="9" customFormat="false" ht="15" hidden="false" customHeight="true" outlineLevel="0" collapsed="false">
      <c r="A9" s="1" t="n">
        <v>5</v>
      </c>
      <c r="B9" s="7" t="s">
        <v>277</v>
      </c>
      <c r="C9" s="7" t="s">
        <v>278</v>
      </c>
      <c r="D9" s="7" t="s">
        <v>261</v>
      </c>
      <c r="E9" s="39" t="n">
        <v>500</v>
      </c>
      <c r="F9" s="35" t="n">
        <v>0</v>
      </c>
      <c r="G9" s="8" t="n">
        <f aca="false">E9*(1-F9)</f>
        <v>500</v>
      </c>
      <c r="H9" s="7" t="s">
        <v>279</v>
      </c>
      <c r="I9" s="7" t="s">
        <v>280</v>
      </c>
      <c r="J9" s="7"/>
    </row>
    <row r="10" customFormat="false" ht="15" hidden="false" customHeight="true" outlineLevel="0" collapsed="false">
      <c r="A10" s="1" t="n">
        <v>6</v>
      </c>
      <c r="B10" s="7" t="s">
        <v>281</v>
      </c>
      <c r="C10" s="7" t="s">
        <v>282</v>
      </c>
      <c r="D10" s="7" t="s">
        <v>283</v>
      </c>
      <c r="E10" s="39" t="n">
        <f aca="false">8_Previsions_Ventes!G9*0.5</f>
        <v>4402.4</v>
      </c>
      <c r="F10" s="35" t="n">
        <v>0.1</v>
      </c>
      <c r="G10" s="8" t="n">
        <f aca="false">E10*(1-F10)</f>
        <v>3962.16</v>
      </c>
      <c r="H10" s="7" t="s">
        <v>284</v>
      </c>
      <c r="I10" s="7" t="s">
        <v>285</v>
      </c>
      <c r="J10" s="7"/>
    </row>
    <row r="11" customFormat="false" ht="15" hidden="false" customHeight="true" outlineLevel="0" collapsed="false">
      <c r="B11" s="4" t="s">
        <v>232</v>
      </c>
      <c r="E11" s="8" t="n">
        <f aca="false">SUM(E5:E10)</f>
        <v>17112.4</v>
      </c>
      <c r="G11" s="8" t="n">
        <f aca="false">SUM(G5:G10)</f>
        <v>12067.16</v>
      </c>
    </row>
    <row r="13" customFormat="false" ht="15" hidden="false" customHeight="true" outlineLevel="0" collapsed="false">
      <c r="A13" s="6" t="s">
        <v>210</v>
      </c>
      <c r="B13" s="8" t="n">
        <f aca="false">10_Capacite_Remboursement!B10</f>
        <v>3735.585</v>
      </c>
    </row>
    <row r="14" customFormat="false" ht="15" hidden="false" customHeight="true" outlineLevel="0" collapsed="false">
      <c r="A14" s="6" t="s">
        <v>286</v>
      </c>
      <c r="B14" s="37" t="n">
        <f aca="false">IFERROR(G11/B13,0)</f>
        <v>3.23032670920351</v>
      </c>
    </row>
    <row r="15" customFormat="false" ht="15" hidden="false" customHeight="true" outlineLevel="0" collapsed="false">
      <c r="A15" s="6" t="s">
        <v>287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288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289</v>
      </c>
    </row>
    <row r="2" customFormat="false" ht="15" hidden="false" customHeight="true" outlineLevel="0" collapsed="false">
      <c r="A2" s="1" t="s">
        <v>290</v>
      </c>
    </row>
    <row r="4" customFormat="false" ht="27.75" hidden="false" customHeight="true" outlineLevel="0" collapsed="false">
      <c r="A4" s="4" t="s">
        <v>153</v>
      </c>
      <c r="B4" s="4" t="s">
        <v>291</v>
      </c>
      <c r="C4" s="4" t="s">
        <v>292</v>
      </c>
      <c r="D4" s="4" t="s">
        <v>293</v>
      </c>
      <c r="E4" s="4" t="s">
        <v>294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1960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1960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860</v>
      </c>
      <c r="C6" s="1" t="n">
        <f aca="false">3_Parametres_Techniques!B6</f>
        <v>1</v>
      </c>
      <c r="D6" s="1" t="n">
        <f aca="false">3_Parametres_Techniques!C6</f>
        <v>2</v>
      </c>
      <c r="E6" s="8" t="n">
        <f aca="false">IF(D6&gt;=C6,B6/(D6-C6+1),0)</f>
        <v>430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540</v>
      </c>
      <c r="C7" s="1" t="n">
        <f aca="false">3_Parametres_Techniques!B7</f>
        <v>2</v>
      </c>
      <c r="D7" s="1" t="n">
        <f aca="false">3_Parametres_Techniques!C7</f>
        <v>9</v>
      </c>
      <c r="E7" s="8" t="n">
        <f aca="false">IF(D7&gt;=C7,B7/(D7-C7+1),0)</f>
        <v>67.5</v>
      </c>
    </row>
    <row r="8" customFormat="false" ht="15" hidden="false" customHeight="true" outlineLevel="0" collapsed="false">
      <c r="A8" s="1" t="s">
        <v>295</v>
      </c>
      <c r="B8" s="8" t="n">
        <f aca="false">SUMIF(4_Besoins_Financiers!I:I,A8,4_Besoins_Financiers!H:H)</f>
        <v>0</v>
      </c>
      <c r="C8" s="1" t="n">
        <f aca="false">3_Parametres_Techniques!B7</f>
        <v>2</v>
      </c>
      <c r="D8" s="1" t="n">
        <f aca="false">3_Parametres_Techniques!C7</f>
        <v>9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176</v>
      </c>
      <c r="C9" s="1" t="n">
        <f aca="false">3_Parametres_Techniques!B8</f>
        <v>10</v>
      </c>
      <c r="D9" s="1" t="n">
        <f aca="false">3_Parametres_Techniques!C8</f>
        <v>11</v>
      </c>
      <c r="E9" s="8" t="n">
        <f aca="false">IF(D9&gt;=C9,B9/(D9-C9+1),0)</f>
        <v>88</v>
      </c>
    </row>
    <row r="10" customFormat="false" ht="15" hidden="false" customHeight="true" outlineLevel="0" collapsed="false">
      <c r="A10" s="1" t="s">
        <v>296</v>
      </c>
      <c r="B10" s="8" t="n">
        <f aca="false">SUMIF(4_Besoins_Financiers!I:I,A10,4_Besoins_Financiers!H:H)</f>
        <v>0</v>
      </c>
      <c r="C10" s="1" t="n">
        <f aca="false">3_Parametres_Techniques!B9</f>
        <v>10</v>
      </c>
      <c r="D10" s="1" t="n">
        <f aca="false">3_Parametres_Techniques!C9</f>
        <v>12</v>
      </c>
      <c r="E10" s="8" t="n">
        <f aca="false">IF(D10&gt;=C10,B10/(D10-C10+1),0)</f>
        <v>0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540</v>
      </c>
      <c r="C11" s="1" t="n">
        <f aca="false">3_Parametres_Techniques!B10</f>
        <v>11</v>
      </c>
      <c r="D11" s="1" t="n">
        <f aca="false">3_Parametres_Techniques!C10</f>
        <v>12</v>
      </c>
      <c r="E11" s="8" t="n">
        <f aca="false">IF(D11&gt;=C11,B11/(D11-C11+1),0)</f>
        <v>270</v>
      </c>
    </row>
    <row r="12" customFormat="false" ht="15" hidden="false" customHeight="true" outlineLevel="0" collapsed="false">
      <c r="A12" s="1" t="s">
        <v>117</v>
      </c>
      <c r="B12" s="8" t="n">
        <f aca="false">SUMIF(4_Besoins_Financiers!I:I,A12,4_Besoins_Financiers!H:H)</f>
        <v>610</v>
      </c>
      <c r="C12" s="1" t="n">
        <f aca="false">1</f>
        <v>1</v>
      </c>
      <c r="D12" s="1" t="n">
        <f aca="false">1_Accueil_Parametres!B15</f>
        <v>12</v>
      </c>
      <c r="E12" s="8" t="n">
        <f aca="false">IF(D12&gt;=C12,B12/(D12-C12+1),0)</f>
        <v>50.8333333333333</v>
      </c>
    </row>
    <row r="14" customFormat="false" ht="15" hidden="false" customHeight="true" outlineLevel="0" collapsed="false">
      <c r="A14" s="4" t="s">
        <v>297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298</v>
      </c>
      <c r="B15" s="8" t="n">
        <f aca="false">SUMPRODUCT(($C$5:$C$12&lt;=B$14)*($D$5:$D$12&gt;=B$14)*$E$5:$E$12)</f>
        <v>2440.83333333333</v>
      </c>
      <c r="C15" s="8" t="n">
        <f aca="false">SUMPRODUCT(($C$5:$C$12&lt;=C$14)*($D$5:$D$12&gt;=C$14)*$E$5:$E$12)</f>
        <v>548.333333333333</v>
      </c>
      <c r="D15" s="8" t="n">
        <f aca="false">SUMPRODUCT(($C$5:$C$12&lt;=D$14)*($D$5:$D$12&gt;=D$14)*$E$5:$E$12)</f>
        <v>118.333333333333</v>
      </c>
      <c r="E15" s="8" t="n">
        <f aca="false">SUMPRODUCT(($C$5:$C$12&lt;=E$14)*($D$5:$D$12&gt;=E$14)*$E$5:$E$12)</f>
        <v>118.333333333333</v>
      </c>
      <c r="F15" s="8" t="n">
        <f aca="false">SUMPRODUCT(($C$5:$C$12&lt;=F$14)*($D$5:$D$12&gt;=F$14)*$E$5:$E$12)</f>
        <v>118.333333333333</v>
      </c>
      <c r="G15" s="8" t="n">
        <f aca="false">SUMPRODUCT(($C$5:$C$12&lt;=G$14)*($D$5:$D$12&gt;=G$14)*$E$5:$E$12)</f>
        <v>118.333333333333</v>
      </c>
      <c r="H15" s="8" t="n">
        <f aca="false">SUMPRODUCT(($C$5:$C$12&lt;=H$14)*($D$5:$D$12&gt;=H$14)*$E$5:$E$12)</f>
        <v>118.333333333333</v>
      </c>
      <c r="I15" s="8" t="n">
        <f aca="false">SUMPRODUCT(($C$5:$C$12&lt;=I$14)*($D$5:$D$12&gt;=I$14)*$E$5:$E$12)</f>
        <v>118.333333333333</v>
      </c>
      <c r="J15" s="8" t="n">
        <f aca="false">SUMPRODUCT(($C$5:$C$12&lt;=J$14)*($D$5:$D$12&gt;=J$14)*$E$5:$E$12)</f>
        <v>118.333333333333</v>
      </c>
      <c r="K15" s="8" t="n">
        <f aca="false">SUMPRODUCT(($C$5:$C$12&lt;=K$14)*($D$5:$D$12&gt;=K$14)*$E$5:$E$12)</f>
        <v>138.833333333333</v>
      </c>
      <c r="L15" s="8" t="n">
        <f aca="false">SUMPRODUCT(($C$5:$C$12&lt;=L$14)*($D$5:$D$12&gt;=L$14)*$E$5:$E$12)</f>
        <v>408.833333333333</v>
      </c>
      <c r="M15" s="8" t="n">
        <f aca="false">SUMPRODUCT(($C$5:$C$12&lt;=M$14)*($D$5:$D$12&gt;=M$14)*$E$5:$E$12)</f>
        <v>320.833333333333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299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1324.8</v>
      </c>
      <c r="G16" s="8" t="n">
        <f aca="false">SUMIF(8_Previsions_Ventes!$H$5:$H$8,G$14,8_Previsions_Ventes!$G$5:$G$8)</f>
        <v>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7480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300</v>
      </c>
      <c r="B17" s="8" t="n">
        <f aca="false">IF(B$14=1,6_Plan_Financement!$B$7,0)</f>
        <v>1500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301</v>
      </c>
      <c r="B18" s="8" t="n">
        <f aca="false">B16+B17-B15</f>
        <v>-940.833333333334</v>
      </c>
      <c r="C18" s="8" t="n">
        <f aca="false">C16+C17-C15</f>
        <v>-548.333333333333</v>
      </c>
      <c r="D18" s="8" t="n">
        <f aca="false">D16+D17-D15</f>
        <v>-118.333333333333</v>
      </c>
      <c r="E18" s="8" t="n">
        <f aca="false">E16+E17-E15</f>
        <v>-118.333333333333</v>
      </c>
      <c r="F18" s="8" t="n">
        <f aca="false">F16+F17-F15</f>
        <v>1206.46666666667</v>
      </c>
      <c r="G18" s="8" t="n">
        <f aca="false">G16+G17-G15</f>
        <v>-118.333333333333</v>
      </c>
      <c r="H18" s="8" t="n">
        <f aca="false">H16+H17-H15</f>
        <v>-118.333333333333</v>
      </c>
      <c r="I18" s="8" t="n">
        <f aca="false">I16+I17-I15</f>
        <v>-118.333333333333</v>
      </c>
      <c r="J18" s="8" t="n">
        <f aca="false">J16+J17-J15</f>
        <v>-118.333333333333</v>
      </c>
      <c r="K18" s="8" t="n">
        <f aca="false">K16+K17-K15</f>
        <v>-138.833333333333</v>
      </c>
      <c r="L18" s="8" t="n">
        <f aca="false">L16+L17-L15</f>
        <v>7071.16666666667</v>
      </c>
      <c r="M18" s="8" t="n">
        <f aca="false">M16+M17-M15</f>
        <v>-320.833333333333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302</v>
      </c>
      <c r="B19" s="8" t="n">
        <f aca="false">B18</f>
        <v>-940.833333333334</v>
      </c>
      <c r="C19" s="8" t="n">
        <f aca="false">B19+C18</f>
        <v>-1489.16666666667</v>
      </c>
      <c r="D19" s="8" t="n">
        <f aca="false">C19+D18</f>
        <v>-1607.5</v>
      </c>
      <c r="E19" s="8" t="n">
        <f aca="false">D19+E18</f>
        <v>-1725.83333333333</v>
      </c>
      <c r="F19" s="8" t="n">
        <f aca="false">E19+F18</f>
        <v>-519.366666666667</v>
      </c>
      <c r="G19" s="8" t="n">
        <f aca="false">F19+G18</f>
        <v>-637.7</v>
      </c>
      <c r="H19" s="8" t="n">
        <f aca="false">G19+H18</f>
        <v>-756.033333333333</v>
      </c>
      <c r="I19" s="8" t="n">
        <f aca="false">H19+I18</f>
        <v>-874.366666666667</v>
      </c>
      <c r="J19" s="8" t="n">
        <f aca="false">I19+J18</f>
        <v>-992.7</v>
      </c>
      <c r="K19" s="8" t="n">
        <f aca="false">J19+K18</f>
        <v>-1131.53333333333</v>
      </c>
      <c r="L19" s="8" t="n">
        <f aca="false">K19+L18</f>
        <v>5939.63333333333</v>
      </c>
      <c r="M19" s="8" t="n">
        <f aca="false">L19+M18</f>
        <v>5618.8</v>
      </c>
      <c r="N19" s="8" t="n">
        <f aca="false">M19+N18</f>
        <v>5618.8</v>
      </c>
      <c r="O19" s="8" t="n">
        <f aca="false">N19+O18</f>
        <v>5618.8</v>
      </c>
      <c r="P19" s="8" t="n">
        <f aca="false">O19+P18</f>
        <v>5618.8</v>
      </c>
      <c r="Q19" s="8" t="n">
        <f aca="false">P19+Q18</f>
        <v>5618.8</v>
      </c>
      <c r="R19" s="8" t="n">
        <f aca="false">Q19+R18</f>
        <v>5618.8</v>
      </c>
      <c r="S19" s="8" t="n">
        <f aca="false">R19+S18</f>
        <v>5618.8</v>
      </c>
    </row>
    <row r="21" customFormat="false" ht="15" hidden="false" customHeight="true" outlineLevel="0" collapsed="false">
      <c r="A21" s="6" t="s">
        <v>303</v>
      </c>
      <c r="B21" s="8" t="n">
        <f aca="false">MAX(0,-MIN(B19:S19))</f>
        <v>1725.83333333333</v>
      </c>
    </row>
    <row r="22" customFormat="false" ht="15" hidden="false" customHeight="true" outlineLevel="0" collapsed="false">
      <c r="A22" s="1" t="s">
        <v>304</v>
      </c>
      <c r="B22" s="8" t="n">
        <f aca="false">6_Plan_Financement!B8</f>
        <v>3186</v>
      </c>
    </row>
    <row r="23" customFormat="false" ht="15" hidden="false" customHeight="true" outlineLevel="0" collapsed="false">
      <c r="A23" s="1" t="s">
        <v>305</v>
      </c>
      <c r="B23" s="8" t="n">
        <f aca="false">MAX(0,B22-B21)</f>
        <v>1460.16666666667</v>
      </c>
    </row>
    <row r="24" customFormat="false" ht="15" hidden="false" customHeight="true" outlineLevel="0" collapsed="false">
      <c r="A24" s="1" t="s">
        <v>306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307</v>
      </c>
    </row>
    <row r="2" customFormat="false" ht="15" hidden="false" customHeight="true" outlineLevel="0" collapsed="false">
      <c r="A2" s="1" t="s">
        <v>308</v>
      </c>
    </row>
    <row r="4" customFormat="false" ht="15" hidden="false" customHeight="true" outlineLevel="0" collapsed="false">
      <c r="A4" s="4" t="s">
        <v>309</v>
      </c>
      <c r="B4" s="4" t="s">
        <v>310</v>
      </c>
    </row>
    <row r="5" customFormat="false" ht="15" hidden="false" customHeight="true" outlineLevel="0" collapsed="false">
      <c r="A5" s="1" t="s">
        <v>311</v>
      </c>
      <c r="B5" s="35" t="n">
        <v>0.2</v>
      </c>
    </row>
    <row r="6" customFormat="false" ht="15" hidden="false" customHeight="true" outlineLevel="0" collapsed="false">
      <c r="A6" s="1" t="s">
        <v>312</v>
      </c>
      <c r="B6" s="35" t="n">
        <v>0.15</v>
      </c>
    </row>
    <row r="7" customFormat="false" ht="15" hidden="false" customHeight="true" outlineLevel="0" collapsed="false">
      <c r="A7" s="1" t="s">
        <v>313</v>
      </c>
      <c r="B7" s="35" t="n">
        <v>0.1</v>
      </c>
    </row>
    <row r="9" customFormat="false" ht="27.75" hidden="false" customHeight="true" outlineLevel="0" collapsed="false">
      <c r="A9" s="4" t="s">
        <v>314</v>
      </c>
      <c r="B9" s="4" t="s">
        <v>315</v>
      </c>
      <c r="C9" s="4" t="s">
        <v>316</v>
      </c>
      <c r="D9" s="4" t="s">
        <v>317</v>
      </c>
      <c r="E9" s="4" t="s">
        <v>318</v>
      </c>
      <c r="F9" s="4" t="s">
        <v>319</v>
      </c>
      <c r="G9" s="4" t="s">
        <v>320</v>
      </c>
    </row>
    <row r="10" customFormat="false" ht="15" hidden="false" customHeight="true" outlineLevel="0" collapsed="false">
      <c r="A10" s="1" t="s">
        <v>321</v>
      </c>
      <c r="B10" s="8" t="n">
        <f aca="false">8_Previsions_Ventes!G9</f>
        <v>8804.8</v>
      </c>
      <c r="C10" s="8" t="n">
        <f aca="false">9_Compte_Exploitation!B7</f>
        <v>4316</v>
      </c>
      <c r="D10" s="8" t="n">
        <f aca="false">B10-C10</f>
        <v>4488.8</v>
      </c>
      <c r="E10" s="8" t="n">
        <f aca="false">10_Capacite_Remboursement!B10</f>
        <v>3735.585</v>
      </c>
      <c r="F10" s="40" t="n">
        <f aca="false">IFERROR(D10/E10,0)</f>
        <v>1.20163240831088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322</v>
      </c>
      <c r="B11" s="8" t="n">
        <f aca="false">8_Previsions_Ventes!G9*(1-$B$5)</f>
        <v>7043.84</v>
      </c>
      <c r="C11" s="8" t="n">
        <f aca="false">$C$10</f>
        <v>4316</v>
      </c>
      <c r="D11" s="8" t="n">
        <f aca="false">B11-C11</f>
        <v>2727.84</v>
      </c>
      <c r="E11" s="8" t="n">
        <f aca="false">10_Capacite_Remboursement!B10</f>
        <v>3735.585</v>
      </c>
      <c r="F11" s="40" t="n">
        <f aca="false">IFERROR(D11/E11,0)</f>
        <v>0.730231007994732</v>
      </c>
      <c r="G11" s="1" t="str">
        <f aca="false">IF(F11&gt;=1.2,"OK",IF(F11&gt;=1,"Limite","Fragile"))</f>
        <v>Fragile</v>
      </c>
    </row>
    <row r="12" customFormat="false" ht="15" hidden="false" customHeight="true" outlineLevel="0" collapsed="false">
      <c r="A12" s="1" t="s">
        <v>323</v>
      </c>
      <c r="B12" s="8" t="n">
        <f aca="false">8_Previsions_Ventes!G9*(1-$B$6)</f>
        <v>7484.08</v>
      </c>
      <c r="C12" s="8" t="n">
        <f aca="false">$C$10</f>
        <v>4316</v>
      </c>
      <c r="D12" s="8" t="n">
        <f aca="false">B12-C12</f>
        <v>3168.08</v>
      </c>
      <c r="E12" s="8" t="n">
        <f aca="false">10_Capacite_Remboursement!B10</f>
        <v>3735.585</v>
      </c>
      <c r="F12" s="40" t="n">
        <f aca="false">IFERROR(D12/E12,0)</f>
        <v>0.848081358073769</v>
      </c>
      <c r="G12" s="1" t="str">
        <f aca="false">IF(F12&gt;=1.2,"OK",IF(F12&gt;=1,"Limite","Fragile"))</f>
        <v>Fragile</v>
      </c>
    </row>
    <row r="13" customFormat="false" ht="15" hidden="false" customHeight="true" outlineLevel="0" collapsed="false">
      <c r="A13" s="1" t="s">
        <v>324</v>
      </c>
      <c r="B13" s="8" t="n">
        <f aca="false">$B$10</f>
        <v>8804.8</v>
      </c>
      <c r="C13" s="8" t="n">
        <f aca="false">9_Compte_Exploitation!B7*(1+$B$7)</f>
        <v>4747.6</v>
      </c>
      <c r="D13" s="8" t="n">
        <f aca="false">B13-C13</f>
        <v>4057.2</v>
      </c>
      <c r="E13" s="8" t="n">
        <f aca="false">10_Capacite_Remboursement!B10</f>
        <v>3735.585</v>
      </c>
      <c r="F13" s="40" t="n">
        <f aca="false">IFERROR(D13/E13,0)</f>
        <v>1.08609494898389</v>
      </c>
      <c r="G13" s="1" t="str">
        <f aca="false">IF(F13&gt;=1.2,"OK",IF(F13&gt;=1,"Limite","Fragile"))</f>
        <v>Limite</v>
      </c>
    </row>
    <row r="14" customFormat="false" ht="15" hidden="false" customHeight="true" outlineLevel="0" collapsed="false">
      <c r="A14" s="1" t="s">
        <v>325</v>
      </c>
      <c r="B14" s="8" t="n">
        <f aca="false">8_Previsions_Ventes!G9*(1-$B$5)*(1-$B$6)</f>
        <v>5987.264</v>
      </c>
      <c r="C14" s="8" t="n">
        <f aca="false">9_Compte_Exploitation!B7*(1+$B$7)</f>
        <v>4747.6</v>
      </c>
      <c r="D14" s="8" t="n">
        <f aca="false">B14-C14</f>
        <v>1239.664</v>
      </c>
      <c r="E14" s="8" t="n">
        <f aca="false">10_Capacite_Remboursement!B10</f>
        <v>3735.585</v>
      </c>
      <c r="F14" s="40" t="n">
        <f aca="false">IFERROR(D14/E14,0)</f>
        <v>0.331852708478056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326</v>
      </c>
      <c r="B16" s="9" t="n">
        <f aca="false">MIN(F11:F14)</f>
        <v>0.331852708478056</v>
      </c>
    </row>
    <row r="17" customFormat="false" ht="15" hidden="false" customHeight="true" outlineLevel="0" collapsed="false">
      <c r="A17" s="6" t="s">
        <v>327</v>
      </c>
      <c r="B17" s="8" t="n">
        <f aca="false">D14/1_Accueil_Parametres!B22</f>
        <v>1033.05333333333</v>
      </c>
    </row>
    <row r="18" customFormat="false" ht="15" hidden="false" customHeight="true" outlineLevel="0" collapsed="false">
      <c r="A18" s="6" t="s">
        <v>328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329</v>
      </c>
      <c r="B20" s="9" t="n">
        <f aca="false">(10_Capacite_Remboursement!B10+9_Compte_Exploitation!B7-(8_Previsions_Ventes!G9-8_Previsions_Ventes!G5))/(8_Previsions_Ventes!D2*(1-8_Previsions_Ventes!D5)*8_Previsions_Ventes!F5)</f>
        <v>9.89233088235294</v>
      </c>
      <c r="C20" s="1" t="s">
        <v>330</v>
      </c>
    </row>
    <row r="21" customFormat="false" ht="15" hidden="false" customHeight="true" outlineLevel="0" collapsed="false">
      <c r="A21" s="6" t="s">
        <v>331</v>
      </c>
      <c r="B21" s="8" t="n">
        <f aca="false">(10_Capacite_Remboursement!B10+9_Compte_Exploitation!B7-(8_Previsions_Ventes!G9-8_Previsions_Ventes!G5))/8_Previsions_Ventes!E5</f>
        <v>359.721122994652</v>
      </c>
      <c r="C21" s="1" t="s">
        <v>332</v>
      </c>
    </row>
    <row r="22" customFormat="false" ht="15" hidden="false" customHeight="true" outlineLevel="0" collapsed="false">
      <c r="A22" s="6" t="s">
        <v>333</v>
      </c>
      <c r="B22" s="37" t="n">
        <f aca="false">1-B20/8_Previsions_Ventes!B2</f>
        <v>0.100697192513369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334</v>
      </c>
    </row>
    <row r="2" customFormat="false" ht="15" hidden="false" customHeight="true" outlineLevel="0" collapsed="false">
      <c r="A2" s="1" t="s">
        <v>335</v>
      </c>
    </row>
    <row r="4" customFormat="false" ht="27.75" hidden="false" customHeight="true" outlineLevel="0" collapsed="false">
      <c r="A4" s="4" t="s">
        <v>208</v>
      </c>
      <c r="B4" s="4" t="s">
        <v>336</v>
      </c>
      <c r="C4" s="4" t="s">
        <v>337</v>
      </c>
      <c r="D4" s="4" t="s">
        <v>338</v>
      </c>
      <c r="E4" s="4" t="s">
        <v>339</v>
      </c>
      <c r="F4" s="4" t="s">
        <v>133</v>
      </c>
      <c r="G4" s="4" t="s">
        <v>340</v>
      </c>
      <c r="H4" s="4" t="s">
        <v>341</v>
      </c>
    </row>
    <row r="5" customFormat="false" ht="15" hidden="false" customHeight="true" outlineLevel="0" collapsed="false">
      <c r="A5" s="1" t="s">
        <v>342</v>
      </c>
      <c r="B5" s="8" t="n">
        <f aca="false">9_Compte_Exploitation!B7/8_Previsions_Ventes!D2</f>
        <v>2158</v>
      </c>
      <c r="C5" s="7" t="n">
        <v>800</v>
      </c>
      <c r="D5" s="7" t="n">
        <v>2500</v>
      </c>
      <c r="E5" s="1" t="str">
        <f aca="false">IF(B5&lt;C5,"À vérifier — sous la plage de référence",IF(B5&gt;D5,"À vérifier — au-dessus de la plage","OK"))</f>
        <v>OK</v>
      </c>
      <c r="F5" s="1" t="s">
        <v>343</v>
      </c>
      <c r="G5" s="7" t="s">
        <v>344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175</v>
      </c>
      <c r="B6" s="9" t="n">
        <f aca="false">8_Previsions_Ventes!B2</f>
        <v>11</v>
      </c>
      <c r="C6" s="7" t="n">
        <v>6</v>
      </c>
      <c r="D6" s="7" t="n">
        <v>15</v>
      </c>
      <c r="E6" s="1" t="str">
        <f aca="false">IF(B6&lt;C6,"À vérifier — sous la plage de référence",IF(B6&gt;D6,"À vérifier — au-dessus de la plage","OK"))</f>
        <v>OK</v>
      </c>
      <c r="F6" s="1" t="s">
        <v>345</v>
      </c>
      <c r="G6" s="7" t="s">
        <v>344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346</v>
      </c>
      <c r="B7" s="9" t="n">
        <f aca="false">4_Besoins_Financiers!E5/8_Previsions_Ventes!D2</f>
        <v>1600</v>
      </c>
      <c r="C7" s="7" t="n">
        <v>1400</v>
      </c>
      <c r="D7" s="7" t="n">
        <v>1800</v>
      </c>
      <c r="E7" s="1" t="str">
        <f aca="false">IF(B7&lt;C7,"À vérifier — sous la plage de référence",IF(B7&gt;D7,"À vérifier — au-dessus de la plage","OK"))</f>
        <v>OK</v>
      </c>
      <c r="F7" s="1" t="s">
        <v>347</v>
      </c>
      <c r="G7" s="7" t="s">
        <v>344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348</v>
      </c>
      <c r="B8" s="8" t="n">
        <f aca="false">8_Previsions_Ventes!F5</f>
        <v>400</v>
      </c>
      <c r="C8" s="7" t="n">
        <v>250</v>
      </c>
      <c r="D8" s="7" t="n">
        <v>500</v>
      </c>
      <c r="E8" s="1" t="str">
        <f aca="false">IF(B8&lt;C8,"À vérifier — sous la plage de référence",IF(B8&gt;D8,"À vérifier — au-dessus de la plage","OK"))</f>
        <v>OK</v>
      </c>
      <c r="F8" s="1" t="s">
        <v>349</v>
      </c>
      <c r="G8" s="7" t="s">
        <v>344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350</v>
      </c>
      <c r="B9" s="37" t="n">
        <f aca="false">8_Previsions_Ventes!D5</f>
        <v>0.15</v>
      </c>
      <c r="C9" s="35" t="n">
        <v>0.1</v>
      </c>
      <c r="D9" s="35" t="n">
        <v>0.2</v>
      </c>
      <c r="E9" s="1" t="str">
        <f aca="false">IF(B9&lt;C9,"À vérifier — sous la plage de référence",IF(B9&gt;D9,"À vérifier — au-dessus de la plage","OK"))</f>
        <v>OK</v>
      </c>
      <c r="G9" s="7" t="s">
        <v>344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351</v>
      </c>
      <c r="B10" s="7" t="s">
        <v>352</v>
      </c>
      <c r="E10" s="1" t="str">
        <f aca="false">IF(B10="Oui","OK","À vérifier — semis hors fenêtre = risque majeur")</f>
        <v>À vérifier — semis hors fenêtre = risque majeur</v>
      </c>
      <c r="G10" s="7" t="s">
        <v>344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353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354</v>
      </c>
    </row>
    <row r="2" customFormat="false" ht="15" hidden="false" customHeight="true" outlineLevel="0" collapsed="false">
      <c r="A2" s="1" t="s">
        <v>355</v>
      </c>
    </row>
    <row r="4" customFormat="false" ht="27.75" hidden="false" customHeight="true" outlineLevel="0" collapsed="false">
      <c r="A4" s="4" t="s">
        <v>89</v>
      </c>
      <c r="B4" s="4" t="s">
        <v>356</v>
      </c>
      <c r="C4" s="4" t="s">
        <v>357</v>
      </c>
      <c r="D4" s="4" t="s">
        <v>358</v>
      </c>
      <c r="E4" s="4" t="s">
        <v>359</v>
      </c>
      <c r="F4" s="4" t="s">
        <v>360</v>
      </c>
      <c r="G4" s="4" t="s">
        <v>361</v>
      </c>
      <c r="H4" s="4" t="s">
        <v>362</v>
      </c>
      <c r="I4" s="4" t="s">
        <v>231</v>
      </c>
      <c r="J4" s="4" t="s">
        <v>363</v>
      </c>
    </row>
    <row r="5" customFormat="false" ht="15" hidden="false" customHeight="true" outlineLevel="0" collapsed="false">
      <c r="A5" s="1" t="n">
        <v>1</v>
      </c>
      <c r="B5" s="1" t="s">
        <v>364</v>
      </c>
      <c r="C5" s="1" t="s">
        <v>365</v>
      </c>
      <c r="D5" s="1" t="s">
        <v>366</v>
      </c>
      <c r="E5" s="1" t="s">
        <v>367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368</v>
      </c>
      <c r="C6" s="1" t="s">
        <v>369</v>
      </c>
      <c r="D6" s="1" t="s">
        <v>370</v>
      </c>
      <c r="E6" s="1" t="s">
        <v>371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372</v>
      </c>
      <c r="C7" s="1" t="s">
        <v>373</v>
      </c>
      <c r="D7" s="1" t="s">
        <v>374</v>
      </c>
      <c r="E7" s="1" t="s">
        <v>375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376</v>
      </c>
      <c r="C8" s="1" t="s">
        <v>377</v>
      </c>
      <c r="D8" s="1" t="s">
        <v>378</v>
      </c>
      <c r="E8" s="1" t="s">
        <v>379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380</v>
      </c>
      <c r="C9" s="1" t="s">
        <v>381</v>
      </c>
      <c r="D9" s="1" t="s">
        <v>382</v>
      </c>
      <c r="E9" s="1" t="s">
        <v>383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384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385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4686</v>
      </c>
      <c r="D4" s="3" t="s">
        <v>386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3186</v>
      </c>
      <c r="D5" s="41" t="s">
        <v>387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1500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8804.8</v>
      </c>
      <c r="D7" s="12" t="s">
        <v>388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3939.215</v>
      </c>
      <c r="D8" s="12" t="s">
        <v>389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1.20163240831088</v>
      </c>
    </row>
    <row r="10" customFormat="false" ht="15" hidden="false" customHeight="true" outlineLevel="0" collapsed="false">
      <c r="A10" s="6" t="s">
        <v>390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391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392</v>
      </c>
      <c r="B12" s="37" t="n">
        <f aca="false">15_Garanties_Collateraux!B14</f>
        <v>3.23032670920351</v>
      </c>
      <c r="D12" s="1" t="s">
        <v>393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394</v>
      </c>
      <c r="B13" s="8" t="n">
        <f aca="false">16_Tresorerie_Mensuelle!B21</f>
        <v>1725.83333333333</v>
      </c>
    </row>
    <row r="14" customFormat="false" ht="15" hidden="false" customHeight="true" outlineLevel="0" collapsed="false">
      <c r="A14" s="1" t="s">
        <v>395</v>
      </c>
      <c r="B14" s="9" t="n">
        <f aca="false">17_Sensibilite_StressTest!B16</f>
        <v>0.331852708478056</v>
      </c>
      <c r="D14" s="1" t="s">
        <v>396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397</v>
      </c>
      <c r="B15" s="36" t="n">
        <f aca="false">12_Analyse_Credit!D10</f>
        <v>60.8741435411053</v>
      </c>
      <c r="D15" s="1" t="s">
        <v>398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399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400</v>
      </c>
      <c r="B4" s="4" t="s">
        <v>401</v>
      </c>
      <c r="C4" s="4" t="s">
        <v>5</v>
      </c>
      <c r="D4" s="4" t="s">
        <v>68</v>
      </c>
      <c r="E4" s="4" t="s">
        <v>133</v>
      </c>
    </row>
    <row r="5" customFormat="false" ht="15" hidden="false" customHeight="true" outlineLevel="0" collapsed="false">
      <c r="A5" s="12" t="s">
        <v>402</v>
      </c>
      <c r="B5" s="12" t="s">
        <v>403</v>
      </c>
      <c r="C5" s="42" t="n">
        <v>500</v>
      </c>
      <c r="D5" s="12" t="s">
        <v>85</v>
      </c>
      <c r="E5" s="12" t="s">
        <v>404</v>
      </c>
    </row>
    <row r="6" customFormat="false" ht="15" hidden="false" customHeight="true" outlineLevel="0" collapsed="false">
      <c r="A6" s="12" t="s">
        <v>179</v>
      </c>
      <c r="B6" s="12" t="s">
        <v>405</v>
      </c>
      <c r="C6" s="43" t="n">
        <v>0.15</v>
      </c>
      <c r="D6" s="12" t="s">
        <v>406</v>
      </c>
      <c r="E6" s="12" t="s">
        <v>407</v>
      </c>
    </row>
    <row r="7" customFormat="false" ht="15" hidden="false" customHeight="true" outlineLevel="0" collapsed="false">
      <c r="A7" s="12" t="s">
        <v>408</v>
      </c>
      <c r="B7" s="12" t="s">
        <v>67</v>
      </c>
      <c r="C7" s="44" t="n">
        <v>11</v>
      </c>
      <c r="D7" s="12" t="s">
        <v>409</v>
      </c>
      <c r="E7" s="12" t="s">
        <v>410</v>
      </c>
    </row>
    <row r="8" customFormat="false" ht="15" hidden="false" customHeight="true" outlineLevel="0" collapsed="false">
      <c r="A8" s="12" t="s">
        <v>411</v>
      </c>
      <c r="B8" s="12" t="s">
        <v>412</v>
      </c>
      <c r="C8" s="43" t="n">
        <v>0.18</v>
      </c>
      <c r="D8" s="12" t="s">
        <v>413</v>
      </c>
      <c r="E8" s="12" t="s">
        <v>414</v>
      </c>
    </row>
    <row r="9" customFormat="false" ht="15" hidden="false" customHeight="true" outlineLevel="0" collapsed="false">
      <c r="A9" s="12" t="s">
        <v>415</v>
      </c>
      <c r="B9" s="12" t="s">
        <v>416</v>
      </c>
      <c r="C9" s="12"/>
      <c r="D9" s="12"/>
      <c r="E9" s="12" t="s">
        <v>417</v>
      </c>
    </row>
    <row r="10" customFormat="false" ht="15" hidden="false" customHeight="true" outlineLevel="0" collapsed="false">
      <c r="A10" s="1" t="s">
        <v>382</v>
      </c>
      <c r="B10" s="1" t="s">
        <v>418</v>
      </c>
      <c r="C10" s="1" t="n">
        <f aca="false">1_Accueil_Parametres!B20</f>
        <v>10</v>
      </c>
      <c r="D10" s="1" t="s">
        <v>116</v>
      </c>
      <c r="E10" s="1" t="s">
        <v>419</v>
      </c>
    </row>
    <row r="11" customFormat="false" ht="15" hidden="false" customHeight="true" outlineLevel="0" collapsed="false">
      <c r="A11" s="1" t="s">
        <v>420</v>
      </c>
      <c r="B11" s="1" t="s">
        <v>421</v>
      </c>
      <c r="C11" s="1" t="s">
        <v>422</v>
      </c>
      <c r="D11" s="1" t="s">
        <v>423</v>
      </c>
      <c r="E11" s="1" t="s">
        <v>424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