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<sst xmlns="http://schemas.openxmlformats.org/spreadsheetml/2006/main" count="628" uniqueCount="443">
  <si>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</si>
  <si>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</si>
  <si>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</si>
  <si>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</si>
  <si>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</si>
  <si>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</si>
  <si>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</si>
  <si>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</si>
  <si>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Campagne maïs saison A</t>
  </si>
  <si>
    <t xml:space="preserve">Besoin total du cycle</t>
  </si>
  <si>
    <t xml:space="preserve">Code dossier</t>
  </si>
  <si>
    <t xml:space="preserve">CRD-SIM-001</t>
  </si>
  <si>
    <t xml:space="preserve">Crédit recommandé</t>
  </si>
  <si>
    <t xml:space="preserve">Nom de l'opérateur</t>
  </si>
  <si>
    <t xml:space="preserve">Coopérative Meka</t>
  </si>
  <si>
    <t xml:space="preserve">Apport propre</t>
  </si>
  <si>
    <t xml:space="preserve">Filière</t>
  </si>
  <si>
    <t xml:space="preserve">Maïs</t>
  </si>
  <si>
    <t xml:space="preserve">Recettes prévues</t>
  </si>
  <si>
    <t xml:space="preserve">Zone</t>
  </si>
  <si>
    <t xml:space="preserve">Kinshasa / Maluku</t>
  </si>
  <si>
    <t xml:space="preserve">Résultat net prévisionnel</t>
  </si>
  <si>
    <t xml:space="preserve">Campagne / saison</t>
  </si>
  <si>
    <t xml:space="preserve">2026 - Saison A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</si>
  <si>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</si>
  <si>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</si>
  <si>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</si>
  <si>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</si>
  <si>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</si>
  <si>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</si>
  <si>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</si>
  <si>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</si>
  <si>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</si>
  <si>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</si>
  <si>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</si>
  <si>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</si>
  <si>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</si>
  <si>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</si>
  <si>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</si>
  <si>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</si>
  <si>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</si>
  <si>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</si>
  <si>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</si>
  <si>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</si>
  <si>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</si>
  <si>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</si>
  <si>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</si>
  <si>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</si>
  <si>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</si>
  <si>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</si>
  <si>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Producteur végétal; Agrégateur; Commerçant</t>
  </si>
  <si>
    <t xml:space="preserve">Sélection multiple</t>
  </si>
  <si>
    <t xml:space="preserve">Production principale</t>
  </si>
  <si>
    <t xml:space="preserve">Maïs grain</t>
  </si>
  <si>
    <t xml:space="preserve">Superficie exploitée (ha)</t>
  </si>
  <si>
    <t xml:space="preserve">Zone d'activité</t>
  </si>
  <si>
    <t xml:space="preserve">Maluku</t>
  </si>
  <si>
    <t xml:space="preserve">Années d'expérience</t>
  </si>
  <si>
    <t xml:space="preserve">Besoin principal</t>
  </si>
  <si>
    <t xml:space="preserve">Garanties disponibles</t>
  </si>
  <si>
    <t xml:space="preserve">Contrat de vente + stock futur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</si>
  <si>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</si>
  <si>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</si>
  <si>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</si>
  <si>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</si>
  <si>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</si>
  <si>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</si>
  <si>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</si>
  <si>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</si>
  <si>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</si>
  <si>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</si>
  <si>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</si>
  <si>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</si>
  <si>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</si>
  <si>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de sol et approvisionnement</t>
  </si>
  <si>
    <t xml:space="preserve">Implantation</t>
  </si>
  <si>
    <t xml:space="preserve">Semis et installation</t>
  </si>
  <si>
    <t xml:space="preserve">Croissance</t>
  </si>
  <si>
    <t xml:space="preserve">Entretien culturale</t>
  </si>
  <si>
    <t xml:space="preserve">Récolte</t>
  </si>
  <si>
    <t xml:space="preserve">Post-récolte</t>
  </si>
  <si>
    <t xml:space="preserve">Séchage, tri, stockage</t>
  </si>
  <si>
    <t xml:space="preserve">Commercialisation</t>
  </si>
  <si>
    <t xml:space="preserve">Vente et livraison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</si>
  <si>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</si>
  <si>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</si>
  <si>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</si>
  <si>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</si>
  <si>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</si>
  <si>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</si>
  <si>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</si>
  <si>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</si>
  <si>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</si>
  <si>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</si>
  <si>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</si>
  <si>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</si>
  <si>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</si>
  <si>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</si>
  <si>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</si>
  <si>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 améliorées</t>
  </si>
  <si>
    <t xml:space="preserve">kg</t>
  </si>
  <si>
    <t xml:space="preserve">Crédit / Apport</t>
  </si>
  <si>
    <t xml:space="preserve">Engrais de fond</t>
  </si>
  <si>
    <t xml:space="preserve">sacs</t>
  </si>
  <si>
    <t xml:space="preserve">Crédit</t>
  </si>
  <si>
    <t xml:space="preserve">Engrais de couverture</t>
  </si>
  <si>
    <t xml:space="preserve">Produits phytosanitaires</t>
  </si>
  <si>
    <t xml:space="preserve">litres</t>
  </si>
  <si>
    <t xml:space="preserve">Entretien</t>
  </si>
  <si>
    <t xml:space="preserve">Amendements organiques</t>
  </si>
  <si>
    <t xml:space="preserve">Opérations mécanisées</t>
  </si>
  <si>
    <t xml:space="preserve">Labour mécanisé</t>
  </si>
  <si>
    <t xml:space="preserve">ha</t>
  </si>
  <si>
    <t xml:space="preserve">Hersage</t>
  </si>
  <si>
    <t xml:space="preserve">Semis mécanisé</t>
  </si>
  <si>
    <t xml:space="preserve">Entretien mécanisé</t>
  </si>
  <si>
    <t xml:space="preserve">Récolte mécanisée</t>
  </si>
  <si>
    <t xml:space="preserve">Main d'œuvre</t>
  </si>
  <si>
    <t xml:space="preserve">Préparation manuelle du sol</t>
  </si>
  <si>
    <t xml:space="preserve">j/h</t>
  </si>
  <si>
    <t xml:space="preserve">Semis manuel</t>
  </si>
  <si>
    <t xml:space="preserve">Désherbage</t>
  </si>
  <si>
    <t xml:space="preserve">Récolte manuelle</t>
  </si>
  <si>
    <t xml:space="preserve">Supervision technique</t>
  </si>
  <si>
    <t xml:space="preserve">mois</t>
  </si>
  <si>
    <t xml:space="preserve">Tout le cycle</t>
  </si>
  <si>
    <t xml:space="preserve">Équipement &amp; petit matériel</t>
  </si>
  <si>
    <t xml:space="preserve">Pulvérisateur</t>
  </si>
  <si>
    <t xml:space="preserve">unité</t>
  </si>
  <si>
    <t xml:space="preserve">Petit matériel</t>
  </si>
  <si>
    <t xml:space="preserve">lot</t>
  </si>
  <si>
    <t xml:space="preserve">Apport</t>
  </si>
  <si>
    <t xml:space="preserve">Récolte &amp; post-récolte</t>
  </si>
  <si>
    <t xml:space="preserve">Séchage</t>
  </si>
  <si>
    <t xml:space="preserve">Post récolte</t>
  </si>
  <si>
    <t xml:space="preserve">Tri et nettoyage</t>
  </si>
  <si>
    <t xml:space="preserve">Conditionnement</t>
  </si>
  <si>
    <t xml:space="preserve">Stockage</t>
  </si>
  <si>
    <t xml:space="preserve">Logistique</t>
  </si>
  <si>
    <t xml:space="preserve">Transport intrants</t>
  </si>
  <si>
    <t xml:space="preserve">voyage</t>
  </si>
  <si>
    <t xml:space="preserve">Transport récolte</t>
  </si>
  <si>
    <t xml:space="preserve">Chargement</t>
  </si>
  <si>
    <t xml:space="preserve">Distribution</t>
  </si>
  <si>
    <t xml:space="preserve">Marketing</t>
  </si>
  <si>
    <t xml:space="preserve">forfait</t>
  </si>
  <si>
    <t xml:space="preserve">Commission vente</t>
  </si>
  <si>
    <t xml:space="preserve">Promotion produit</t>
  </si>
  <si>
    <t xml:space="preserve">Réserve d'exploitation</t>
  </si>
  <si>
    <t xml:space="preserve">Imprévus</t>
  </si>
  <si>
    <t xml:space="preserve">Fonds de roulement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</si>
  <si>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</si>
  <si>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</si>
  <si>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</si>
  <si>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</si>
  <si>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</si>
  <si>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</si>
  <si>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</si>
  <si>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</si>
  <si>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</si>
  <si>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</si>
  <si>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</si>
  <si>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</si>
  <si>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</si>
  <si>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</si>
  <si>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</si>
  <si>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</si>
  <si>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</si>
  <si>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</si>
  <si>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</si>
  <si>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</si>
  <si>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</si>
  <si>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</si>
  <si>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</si>
  <si>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</si>
  <si>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</si>
  <si>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</si>
  <si>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</si>
  <si>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</si>
  <si>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</si>
  <si>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</si>
  <si>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</si>
  <si>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</si>
  <si>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</si>
  <si>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</si>
  <si>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</si>
  <si>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</si>
  <si>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</si>
  <si>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</si>
  <si>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</si>
  <si>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</si>
  <si>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</si>
  <si>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</si>
  <si>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</si>
  <si>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</si>
  <si>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</si>
  <si>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</si>
  <si>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</si>
  <si>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attendu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</si>
  <si>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</si>
  <si>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</si>
  <si>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</si>
  <si>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</si>
  <si>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</si>
  <si>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</si>
  <si>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</si>
  <si>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</si>
  <si>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</si>
  <si>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Vente comptant</t>
  </si>
  <si>
    <t xml:space="preserve">Hypothèse centrale</t>
  </si>
  <si>
    <t xml:space="preserve">Sous-produit (sons)</t>
  </si>
  <si>
    <t xml:space="preserve">Vente locale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</si>
  <si>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</si>
  <si>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</si>
  <si>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</si>
  <si>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</si>
  <si>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</si>
  <si>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</si>
  <si>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</si>
  <si>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</si>
  <si>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</si>
  <si>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</si>
  <si>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</si>
  <si>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</si>
  <si>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</si>
  <si>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</si>
  <si>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</si>
  <si>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</si>
  <si>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</si>
  <si>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</si>
  <si>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</si>
  <si>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</si>
  <si>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</si>
  <si>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</si>
  <si>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</si>
  <si>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</si>
  <si>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</si>
  <si>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</si>
  <si>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</si>
  <si>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</si>
  <si>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</si>
  <si>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</si>
  <si>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</si>
  <si>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</si>
  <si>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</si>
  <si>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</si>
  <si>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</si>
  <si>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</si>
  <si>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</si>
  <si>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</si>
  <si>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</si>
  <si>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</si>
  <si>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</si>
  <si>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</si>
  <si>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</si>
  <si>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</si>
  <si>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</si>
  <si>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</si>
  <si>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</si>
  <si>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</si>
  <si>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</si>
  <si>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</si>
  <si>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</si>
  <si>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</si>
  <si>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</si>
  <si>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</si>
  <si>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</si>
  <si>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</si>
  <si>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</si>
  <si>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</si>
  <si>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</si>
  <si>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</si>
  <si>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</si>
  <si>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</si>
  <si>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</si>
  <si>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</si>
  <si>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</si>
  <si>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</si>
  <si>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</si>
  <si>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</si>
  <si>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</si>
  <si>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</si>
  <si>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maïs grain</t>
  </si>
  <si>
    <t xml:space="preserve">À formaliser (notification acheteur)</t>
  </si>
  <si>
    <t xml:space="preserve">Contrat signé</t>
  </si>
  <si>
    <t xml:space="preserve">Warrantage / stock nanti</t>
  </si>
  <si>
    <t xml:space="preserve">Stock post-récolte en tierce détention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</si>
  <si>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</si>
  <si>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</si>
  <si>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</si>
  <si>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</si>
  <si>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</si>
  <si>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</si>
  <si>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</si>
  <si>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</si>
  <si>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</si>
  <si>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</si>
  <si>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</si>
  <si>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</si>
  <si>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</si>
  <si>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</si>
  <si>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</si>
  <si>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</si>
  <si>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</si>
  <si>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</si>
  <si>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</si>
  <si>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</si>
  <si>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</si>
  <si>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</si>
  <si>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</si>
  <si>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</si>
  <si>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</si>
  <si>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</si>
  <si>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</si>
  <si>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</si>
  <si>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</si>
  <si>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</si>
  <si>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</si>
  <si>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</si>
  <si>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</si>
  <si>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</si>
  <si>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</si>
  <si>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</si>
  <si>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</si>
  <si>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</si>
  <si>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</si>
  <si>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</si>
  <si>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</si>
  <si>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</si>
  <si>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</si>
  <si>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</si>
  <si>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</si>
  <si>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</si>
  <si>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</si>
  <si>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</si>
  <si>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</si>
  <si>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</si>
  <si>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</si>
  <si>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</si>
  <si>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</si>
  <si>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</si>
  <si>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</si>
  <si>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</si>
  <si>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</si>
  <si>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</si>
  <si>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</si>
  <si>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</si>
  <si>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</si>
  <si>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Rendement de point mort (t/ha)</t>
  </si>
  <si>
    <t xml:space="preserve">Rendement minimal couvrant charges + service de la dette</t>
  </si>
  <si>
    <t xml:space="preserve">Prix de point mort (USD/t)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</si>
  <si>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</si>
  <si>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</si>
  <si>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</si>
  <si>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</si>
  <si>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</si>
  <si>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</si>
  <si>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</si>
  <si>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</si>
  <si>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</si>
  <si>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</si>
  <si>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</si>
  <si>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maïs semi-mécanisé, Kinshasa</t>
  </si>
  <si>
    <t xml:space="preserve">Non</t>
  </si>
  <si>
    <t xml:space="preserve">Réf. maïs pluvial (amélioré : jusqu’à 4)</t>
  </si>
  <si>
    <t xml:space="preserve">Densité de semis (kg/ha)</t>
  </si>
  <si>
    <t xml:space="preserve">Norme maïs : 20–25 kg/ha</t>
  </si>
  <si>
    <t xml:space="preserve">Prix de vente retenu (USD/t)</t>
  </si>
  <si>
    <t xml:space="preserve">Plage marché locale</t>
  </si>
  <si>
    <t xml:space="preserve">Taux de perte post-récolte</t>
  </si>
  <si>
    <t xml:space="preserve">Fenêtre de semis respectée (calendrier de la zone)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</si>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</sst>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9111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8111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1000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22728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13525.345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1.60410057064564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6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8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5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25</v>
      </c>
      <c r="C8" s="12"/>
    </row>
    <row r="9" customFormat="false" ht="15" hidden="false" customHeight="true" outlineLevel="0" collapsed="false">
      <c r="A9" s="6" t="s">
        <v>55</v>
      </c>
      <c r="B9" s="7" t="s">
        <v>56</v>
      </c>
      <c r="C9" s="12"/>
    </row>
    <row r="10" customFormat="false" ht="15" hidden="false" customHeight="true" outlineLevel="0" collapsed="false">
      <c r="A10" s="6" t="s">
        <v>57</v>
      </c>
      <c r="B10" s="7" t="n">
        <v>5</v>
      </c>
      <c r="C10" s="12"/>
    </row>
    <row r="11" customFormat="false" ht="15" hidden="false" customHeight="true" outlineLevel="0" collapsed="false">
      <c r="A11" s="6" t="s">
        <v>58</v>
      </c>
      <c r="B11" s="7" t="s">
        <v>38</v>
      </c>
      <c r="C11" s="12"/>
    </row>
    <row r="12" customFormat="false" ht="15" hidden="false" customHeight="true" outlineLevel="0" collapsed="false">
      <c r="A12" s="6" t="s">
        <v>59</v>
      </c>
      <c r="B12" s="7" t="s">
        <v>60</v>
      </c>
      <c r="C12" s="12"/>
    </row>
    <row r="13" customFormat="false" ht="15" hidden="false" customHeight="true" outlineLevel="0" collapsed="false">
      <c r="A13" s="6" t="s">
        <v>61</v>
      </c>
      <c r="B13" s="13" t="n">
        <v>1000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</row>
    <row r="5" customFormat="false" ht="27.75" hidden="false" customHeight="true" outlineLevel="0" collapsed="false">
      <c r="A5" s="14" t="s">
        <v>73</v>
      </c>
      <c r="B5" s="15" t="n">
        <v>1</v>
      </c>
      <c r="C5" s="15" t="n">
        <v>1</v>
      </c>
      <c r="D5" s="16" t="n">
        <f aca="false">C5-B5+1</f>
        <v>1</v>
      </c>
      <c r="E5" s="17" t="s">
        <v>74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75</v>
      </c>
      <c r="B6" s="15" t="n">
        <v>1</v>
      </c>
      <c r="C6" s="15" t="n">
        <v>2</v>
      </c>
      <c r="D6" s="16" t="n">
        <f aca="false">C6-B6+1</f>
        <v>2</v>
      </c>
      <c r="E6" s="17" t="s">
        <v>76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77</v>
      </c>
      <c r="B7" s="15" t="n">
        <v>2</v>
      </c>
      <c r="C7" s="15" t="n">
        <v>4</v>
      </c>
      <c r="D7" s="16" t="n">
        <f aca="false">C7-B7+1</f>
        <v>3</v>
      </c>
      <c r="E7" s="17" t="s">
        <v>78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79</v>
      </c>
      <c r="B8" s="15" t="n">
        <v>5</v>
      </c>
      <c r="C8" s="15" t="n">
        <v>5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5</v>
      </c>
      <c r="C9" s="15" t="n">
        <v>6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6</v>
      </c>
      <c r="D10" s="16" t="n">
        <f aca="false">C10-B10+1</f>
        <v>1</v>
      </c>
      <c r="E10" s="17" t="s">
        <v>83</v>
      </c>
      <c r="F10" s="15" t="n">
        <f aca="false">8_Previsions_Ventes!B5</f>
        <v>50</v>
      </c>
      <c r="G10" s="17" t="s">
        <v>84</v>
      </c>
      <c r="H10" s="15" t="n">
        <v>500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69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72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50</v>
      </c>
      <c r="F5" s="20" t="n">
        <v>12</v>
      </c>
      <c r="G5" s="20" t="n">
        <v>1</v>
      </c>
      <c r="H5" s="21" t="n">
        <f aca="false">E5*F5*G5</f>
        <v>600</v>
      </c>
      <c r="I5" s="19" t="s">
        <v>73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20</v>
      </c>
      <c r="F6" s="20" t="n">
        <v>35</v>
      </c>
      <c r="G6" s="20" t="n">
        <v>1</v>
      </c>
      <c r="H6" s="21" t="n">
        <f aca="false">E6*F6*G6</f>
        <v>700</v>
      </c>
      <c r="I6" s="19" t="s">
        <v>73</v>
      </c>
      <c r="J6" s="20" t="s">
        <v>104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105</v>
      </c>
      <c r="D7" s="18" t="s">
        <v>103</v>
      </c>
      <c r="E7" s="20" t="n">
        <v>20</v>
      </c>
      <c r="F7" s="20" t="n">
        <v>30</v>
      </c>
      <c r="G7" s="20" t="n">
        <v>2</v>
      </c>
      <c r="H7" s="21" t="n">
        <f aca="false">E7*F7*G7</f>
        <v>1200</v>
      </c>
      <c r="I7" s="19" t="s">
        <v>77</v>
      </c>
      <c r="J7" s="20" t="s">
        <v>104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 t="s">
        <v>106</v>
      </c>
      <c r="D8" s="18" t="s">
        <v>107</v>
      </c>
      <c r="E8" s="20" t="n">
        <v>10</v>
      </c>
      <c r="F8" s="20" t="n">
        <v>18</v>
      </c>
      <c r="G8" s="20" t="n">
        <v>3</v>
      </c>
      <c r="H8" s="21" t="n">
        <f aca="false">E8*F8*G8</f>
        <v>540</v>
      </c>
      <c r="I8" s="19" t="s">
        <v>108</v>
      </c>
      <c r="J8" s="20" t="s">
        <v>104</v>
      </c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 t="s">
        <v>109</v>
      </c>
      <c r="D9" s="18" t="s">
        <v>84</v>
      </c>
      <c r="E9" s="20" t="n">
        <v>5</v>
      </c>
      <c r="F9" s="20" t="n">
        <v>25</v>
      </c>
      <c r="G9" s="20" t="n">
        <v>1</v>
      </c>
      <c r="H9" s="21" t="n">
        <f aca="false">E9*F9*G9</f>
        <v>125</v>
      </c>
      <c r="I9" s="19" t="s">
        <v>73</v>
      </c>
      <c r="J9" s="20" t="s">
        <v>104</v>
      </c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110</v>
      </c>
      <c r="C10" s="18" t="s">
        <v>111</v>
      </c>
      <c r="D10" s="18" t="s">
        <v>112</v>
      </c>
      <c r="E10" s="20" t="n">
        <v>25</v>
      </c>
      <c r="F10" s="20" t="n">
        <v>18</v>
      </c>
      <c r="G10" s="20" t="n">
        <v>1</v>
      </c>
      <c r="H10" s="21" t="n">
        <f aca="false">E10*F10*G10</f>
        <v>450</v>
      </c>
      <c r="I10" s="19" t="s">
        <v>73</v>
      </c>
      <c r="J10" s="20" t="s">
        <v>104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110</v>
      </c>
      <c r="C11" s="18" t="s">
        <v>113</v>
      </c>
      <c r="D11" s="18" t="s">
        <v>112</v>
      </c>
      <c r="E11" s="20" t="n">
        <v>25</v>
      </c>
      <c r="F11" s="20" t="n">
        <v>12</v>
      </c>
      <c r="G11" s="20" t="n">
        <v>1</v>
      </c>
      <c r="H11" s="21" t="n">
        <f aca="false">E11*F11*G11</f>
        <v>300</v>
      </c>
      <c r="I11" s="19" t="s">
        <v>73</v>
      </c>
      <c r="J11" s="20" t="s">
        <v>104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110</v>
      </c>
      <c r="C12" s="18" t="s">
        <v>114</v>
      </c>
      <c r="D12" s="18" t="s">
        <v>112</v>
      </c>
      <c r="E12" s="20" t="n">
        <v>25</v>
      </c>
      <c r="F12" s="20" t="n">
        <v>10</v>
      </c>
      <c r="G12" s="20" t="n">
        <v>1</v>
      </c>
      <c r="H12" s="21" t="n">
        <f aca="false">E12*F12*G12</f>
        <v>250</v>
      </c>
      <c r="I12" s="19" t="s">
        <v>75</v>
      </c>
      <c r="J12" s="20" t="s">
        <v>104</v>
      </c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110</v>
      </c>
      <c r="C13" s="18" t="s">
        <v>115</v>
      </c>
      <c r="D13" s="18" t="s">
        <v>112</v>
      </c>
      <c r="E13" s="20" t="n">
        <v>25</v>
      </c>
      <c r="F13" s="20" t="n">
        <v>8</v>
      </c>
      <c r="G13" s="20" t="n">
        <v>2</v>
      </c>
      <c r="H13" s="21" t="n">
        <f aca="false">E13*F13*G13</f>
        <v>400</v>
      </c>
      <c r="I13" s="19" t="s">
        <v>77</v>
      </c>
      <c r="J13" s="20" t="s">
        <v>104</v>
      </c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110</v>
      </c>
      <c r="C14" s="18" t="s">
        <v>116</v>
      </c>
      <c r="D14" s="18" t="s">
        <v>112</v>
      </c>
      <c r="E14" s="20" t="n">
        <v>25</v>
      </c>
      <c r="F14" s="20" t="n">
        <v>20</v>
      </c>
      <c r="G14" s="20" t="n">
        <v>1</v>
      </c>
      <c r="H14" s="21" t="n">
        <f aca="false">E14*F14*G14</f>
        <v>500</v>
      </c>
      <c r="I14" s="19" t="s">
        <v>79</v>
      </c>
      <c r="J14" s="20" t="s">
        <v>104</v>
      </c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117</v>
      </c>
      <c r="C15" s="18" t="s">
        <v>118</v>
      </c>
      <c r="D15" s="18" t="s">
        <v>119</v>
      </c>
      <c r="E15" s="20" t="n">
        <v>15</v>
      </c>
      <c r="F15" s="20" t="n">
        <v>8</v>
      </c>
      <c r="G15" s="20" t="n">
        <v>1</v>
      </c>
      <c r="H15" s="21" t="n">
        <f aca="false">E15*F15*G15</f>
        <v>120</v>
      </c>
      <c r="I15" s="19" t="s">
        <v>73</v>
      </c>
      <c r="J15" s="20" t="s">
        <v>104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117</v>
      </c>
      <c r="C16" s="18" t="s">
        <v>120</v>
      </c>
      <c r="D16" s="18" t="s">
        <v>119</v>
      </c>
      <c r="E16" s="20" t="n">
        <v>12</v>
      </c>
      <c r="F16" s="20" t="n">
        <v>7</v>
      </c>
      <c r="G16" s="20" t="n">
        <v>1</v>
      </c>
      <c r="H16" s="21" t="n">
        <f aca="false">E16*F16*G16</f>
        <v>84</v>
      </c>
      <c r="I16" s="19" t="s">
        <v>75</v>
      </c>
      <c r="J16" s="20" t="s">
        <v>104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117</v>
      </c>
      <c r="C17" s="18" t="s">
        <v>121</v>
      </c>
      <c r="D17" s="18" t="s">
        <v>119</v>
      </c>
      <c r="E17" s="20" t="n">
        <v>20</v>
      </c>
      <c r="F17" s="20" t="n">
        <v>7</v>
      </c>
      <c r="G17" s="20" t="n">
        <v>2</v>
      </c>
      <c r="H17" s="21" t="n">
        <f aca="false">E17*F17*G17</f>
        <v>280</v>
      </c>
      <c r="I17" s="19" t="s">
        <v>108</v>
      </c>
      <c r="J17" s="20" t="s">
        <v>104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117</v>
      </c>
      <c r="C18" s="18" t="s">
        <v>122</v>
      </c>
      <c r="D18" s="18" t="s">
        <v>119</v>
      </c>
      <c r="E18" s="20" t="n">
        <v>25</v>
      </c>
      <c r="F18" s="20" t="n">
        <v>7</v>
      </c>
      <c r="G18" s="20" t="n">
        <v>1</v>
      </c>
      <c r="H18" s="21" t="n">
        <f aca="false">E18*F18*G18</f>
        <v>175</v>
      </c>
      <c r="I18" s="19" t="s">
        <v>79</v>
      </c>
      <c r="J18" s="20" t="s">
        <v>104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117</v>
      </c>
      <c r="C19" s="18" t="s">
        <v>123</v>
      </c>
      <c r="D19" s="18" t="s">
        <v>124</v>
      </c>
      <c r="E19" s="20" t="n">
        <v>1</v>
      </c>
      <c r="F19" s="20" t="n">
        <v>60</v>
      </c>
      <c r="G19" s="20" t="n">
        <v>6</v>
      </c>
      <c r="H19" s="21" t="n">
        <f aca="false">E19*F19*G19</f>
        <v>360</v>
      </c>
      <c r="I19" s="19" t="s">
        <v>125</v>
      </c>
      <c r="J19" s="20" t="s">
        <v>104</v>
      </c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126</v>
      </c>
      <c r="C20" s="18" t="s">
        <v>127</v>
      </c>
      <c r="D20" s="18" t="s">
        <v>128</v>
      </c>
      <c r="E20" s="20" t="n">
        <v>2</v>
      </c>
      <c r="F20" s="20" t="n">
        <v>45</v>
      </c>
      <c r="G20" s="20" t="n">
        <v>1</v>
      </c>
      <c r="H20" s="21" t="n">
        <f aca="false">E20*F20*G20</f>
        <v>90</v>
      </c>
      <c r="I20" s="19" t="s">
        <v>73</v>
      </c>
      <c r="J20" s="20" t="s">
        <v>104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126</v>
      </c>
      <c r="C21" s="18" t="s">
        <v>129</v>
      </c>
      <c r="D21" s="18" t="s">
        <v>130</v>
      </c>
      <c r="E21" s="20" t="n">
        <v>1</v>
      </c>
      <c r="F21" s="20" t="n">
        <v>120</v>
      </c>
      <c r="G21" s="20" t="n">
        <v>1</v>
      </c>
      <c r="H21" s="21" t="n">
        <f aca="false">E21*F21*G21</f>
        <v>120</v>
      </c>
      <c r="I21" s="19" t="s">
        <v>73</v>
      </c>
      <c r="J21" s="20" t="s">
        <v>131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132</v>
      </c>
      <c r="C22" s="18" t="s">
        <v>79</v>
      </c>
      <c r="D22" s="18" t="s">
        <v>130</v>
      </c>
      <c r="E22" s="20" t="n">
        <v>1</v>
      </c>
      <c r="F22" s="20" t="n">
        <v>200</v>
      </c>
      <c r="G22" s="20" t="n">
        <v>1</v>
      </c>
      <c r="H22" s="21" t="n">
        <f aca="false">E22*F22*G22</f>
        <v>200</v>
      </c>
      <c r="I22" s="19" t="s">
        <v>79</v>
      </c>
      <c r="J22" s="20" t="s">
        <v>104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132</v>
      </c>
      <c r="C23" s="18" t="s">
        <v>133</v>
      </c>
      <c r="D23" s="18" t="s">
        <v>130</v>
      </c>
      <c r="E23" s="20" t="n">
        <v>1</v>
      </c>
      <c r="F23" s="20" t="n">
        <v>90</v>
      </c>
      <c r="G23" s="20" t="n">
        <v>1</v>
      </c>
      <c r="H23" s="21" t="n">
        <f aca="false">E23*F23*G23</f>
        <v>90</v>
      </c>
      <c r="I23" s="19" t="s">
        <v>134</v>
      </c>
      <c r="J23" s="20" t="s">
        <v>104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132</v>
      </c>
      <c r="C24" s="18" t="s">
        <v>135</v>
      </c>
      <c r="D24" s="18" t="s">
        <v>130</v>
      </c>
      <c r="E24" s="20" t="n">
        <v>1</v>
      </c>
      <c r="F24" s="20" t="n">
        <v>70</v>
      </c>
      <c r="G24" s="20" t="n">
        <v>1</v>
      </c>
      <c r="H24" s="21" t="n">
        <f aca="false">E24*F24*G24</f>
        <v>70</v>
      </c>
      <c r="I24" s="19" t="s">
        <v>134</v>
      </c>
      <c r="J24" s="20" t="s">
        <v>104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132</v>
      </c>
      <c r="C25" s="18" t="s">
        <v>136</v>
      </c>
      <c r="D25" s="18" t="s">
        <v>103</v>
      </c>
      <c r="E25" s="20" t="n">
        <v>200</v>
      </c>
      <c r="F25" s="20" t="n">
        <v>0.8</v>
      </c>
      <c r="G25" s="20" t="n">
        <v>1</v>
      </c>
      <c r="H25" s="21" t="n">
        <f aca="false">E25*F25*G25</f>
        <v>160</v>
      </c>
      <c r="I25" s="19" t="s">
        <v>134</v>
      </c>
      <c r="J25" s="20" t="s">
        <v>104</v>
      </c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132</v>
      </c>
      <c r="C26" s="18" t="s">
        <v>137</v>
      </c>
      <c r="D26" s="18" t="s">
        <v>124</v>
      </c>
      <c r="E26" s="20" t="n">
        <v>1</v>
      </c>
      <c r="F26" s="20" t="n">
        <v>75</v>
      </c>
      <c r="G26" s="20" t="n">
        <v>3</v>
      </c>
      <c r="H26" s="21" t="n">
        <f aca="false">E26*F26*G26</f>
        <v>225</v>
      </c>
      <c r="I26" s="19" t="s">
        <v>134</v>
      </c>
      <c r="J26" s="20" t="s">
        <v>104</v>
      </c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138</v>
      </c>
      <c r="C27" s="18" t="s">
        <v>139</v>
      </c>
      <c r="D27" s="18" t="s">
        <v>140</v>
      </c>
      <c r="E27" s="20" t="n">
        <v>4</v>
      </c>
      <c r="F27" s="20" t="n">
        <v>50</v>
      </c>
      <c r="G27" s="20" t="n">
        <v>1</v>
      </c>
      <c r="H27" s="21" t="n">
        <f aca="false">E27*F27*G27</f>
        <v>200</v>
      </c>
      <c r="I27" s="19" t="s">
        <v>73</v>
      </c>
      <c r="J27" s="20" t="s">
        <v>104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138</v>
      </c>
      <c r="C28" s="18" t="s">
        <v>141</v>
      </c>
      <c r="D28" s="18" t="s">
        <v>140</v>
      </c>
      <c r="E28" s="20" t="n">
        <v>4</v>
      </c>
      <c r="F28" s="20" t="n">
        <v>60</v>
      </c>
      <c r="G28" s="20" t="n">
        <v>2</v>
      </c>
      <c r="H28" s="21" t="n">
        <f aca="false">E28*F28*G28</f>
        <v>480</v>
      </c>
      <c r="I28" s="19" t="s">
        <v>79</v>
      </c>
      <c r="J28" s="20" t="s">
        <v>104</v>
      </c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138</v>
      </c>
      <c r="C29" s="18" t="s">
        <v>142</v>
      </c>
      <c r="D29" s="18" t="s">
        <v>119</v>
      </c>
      <c r="E29" s="20" t="n">
        <v>6</v>
      </c>
      <c r="F29" s="20" t="n">
        <v>12</v>
      </c>
      <c r="G29" s="20" t="n">
        <v>1</v>
      </c>
      <c r="H29" s="21" t="n">
        <f aca="false">E29*F29*G29</f>
        <v>72</v>
      </c>
      <c r="I29" s="19" t="s">
        <v>79</v>
      </c>
      <c r="J29" s="20" t="s">
        <v>104</v>
      </c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138</v>
      </c>
      <c r="C30" s="18" t="s">
        <v>143</v>
      </c>
      <c r="D30" s="18" t="s">
        <v>140</v>
      </c>
      <c r="E30" s="20" t="n">
        <v>4</v>
      </c>
      <c r="F30" s="20" t="n">
        <v>55</v>
      </c>
      <c r="G30" s="20" t="n">
        <v>2</v>
      </c>
      <c r="H30" s="21" t="n">
        <f aca="false">E30*F30*G30</f>
        <v>440</v>
      </c>
      <c r="I30" s="19" t="s">
        <v>82</v>
      </c>
      <c r="J30" s="20" t="s">
        <v>104</v>
      </c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144</v>
      </c>
      <c r="D31" s="18" t="s">
        <v>145</v>
      </c>
      <c r="E31" s="20" t="n">
        <v>1</v>
      </c>
      <c r="F31" s="20" t="n">
        <v>100</v>
      </c>
      <c r="G31" s="20" t="n">
        <v>1</v>
      </c>
      <c r="H31" s="21" t="n">
        <f aca="false">E31*F31*G31</f>
        <v>100</v>
      </c>
      <c r="I31" s="19" t="s">
        <v>82</v>
      </c>
      <c r="J31" s="20" t="s">
        <v>104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 t="s">
        <v>146</v>
      </c>
      <c r="D32" s="18" t="s">
        <v>145</v>
      </c>
      <c r="E32" s="20" t="n">
        <v>1</v>
      </c>
      <c r="F32" s="20" t="n">
        <v>150</v>
      </c>
      <c r="G32" s="20" t="n">
        <v>1</v>
      </c>
      <c r="H32" s="21" t="n">
        <f aca="false">E32*F32*G32</f>
        <v>150</v>
      </c>
      <c r="I32" s="19" t="s">
        <v>82</v>
      </c>
      <c r="J32" s="20" t="s">
        <v>104</v>
      </c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 t="s">
        <v>147</v>
      </c>
      <c r="D33" s="18" t="s">
        <v>145</v>
      </c>
      <c r="E33" s="20" t="n">
        <v>1</v>
      </c>
      <c r="F33" s="20" t="n">
        <v>80</v>
      </c>
      <c r="G33" s="20" t="n">
        <v>1</v>
      </c>
      <c r="H33" s="21" t="n">
        <f aca="false">E33*F33*G33</f>
        <v>80</v>
      </c>
      <c r="I33" s="19" t="s">
        <v>82</v>
      </c>
      <c r="J33" s="20" t="s">
        <v>104</v>
      </c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148</v>
      </c>
      <c r="C34" s="18" t="s">
        <v>149</v>
      </c>
      <c r="D34" s="18" t="s">
        <v>145</v>
      </c>
      <c r="E34" s="20" t="n">
        <v>1</v>
      </c>
      <c r="F34" s="20" t="n">
        <v>250</v>
      </c>
      <c r="G34" s="20" t="n">
        <v>1</v>
      </c>
      <c r="H34" s="21" t="n">
        <f aca="false">E34*F34*G34</f>
        <v>250</v>
      </c>
      <c r="I34" s="19" t="s">
        <v>125</v>
      </c>
      <c r="J34" s="20" t="s">
        <v>101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148</v>
      </c>
      <c r="C35" s="18" t="s">
        <v>150</v>
      </c>
      <c r="D35" s="18" t="s">
        <v>145</v>
      </c>
      <c r="E35" s="20" t="n">
        <v>1</v>
      </c>
      <c r="F35" s="20" t="n">
        <v>300</v>
      </c>
      <c r="G35" s="20" t="n">
        <v>1</v>
      </c>
      <c r="H35" s="21" t="n">
        <f aca="false">E35*F35*G35</f>
        <v>300</v>
      </c>
      <c r="I35" s="19" t="s">
        <v>125</v>
      </c>
      <c r="J35" s="20" t="s">
        <v>104</v>
      </c>
      <c r="K35" s="20"/>
      <c r="L35" s="20"/>
    </row>
    <row r="36" customFormat="false" ht="15" hidden="false" customHeight="true" outlineLevel="0" collapsed="false">
      <c r="B36" s="22" t="s">
        <v>151</v>
      </c>
      <c r="H36" s="23" t="n">
        <f aca="false">SUM(H5:H35)</f>
        <v>9111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152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153</v>
      </c>
    </row>
    <row r="4" customFormat="false" ht="15" hidden="false" customHeight="true" outlineLevel="0" collapsed="false">
      <c r="A4" s="4" t="s">
        <v>45</v>
      </c>
      <c r="B4" s="4" t="s">
        <v>154</v>
      </c>
      <c r="C4" s="4" t="s">
        <v>155</v>
      </c>
      <c r="D4" s="4" t="s">
        <v>156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3165</v>
      </c>
      <c r="C5" s="12"/>
      <c r="D5" s="12"/>
    </row>
    <row r="6" customFormat="false" ht="15" hidden="false" customHeight="true" outlineLevel="0" collapsed="false">
      <c r="A6" s="6" t="s">
        <v>110</v>
      </c>
      <c r="B6" s="8" t="n">
        <f aca="false">SUMIF(4_Besoins_Financiers!B:B,A6,4_Besoins_Financiers!H:H)</f>
        <v>1900</v>
      </c>
      <c r="C6" s="12"/>
      <c r="D6" s="12"/>
    </row>
    <row r="7" customFormat="false" ht="15" hidden="false" customHeight="true" outlineLevel="0" collapsed="false">
      <c r="A7" s="6" t="s">
        <v>117</v>
      </c>
      <c r="B7" s="8" t="n">
        <f aca="false">SUMIF(4_Besoins_Financiers!B:B,A7,4_Besoins_Financiers!H:H)</f>
        <v>1019</v>
      </c>
      <c r="C7" s="12"/>
      <c r="D7" s="12"/>
    </row>
    <row r="8" customFormat="false" ht="15" hidden="false" customHeight="true" outlineLevel="0" collapsed="false">
      <c r="A8" s="6" t="s">
        <v>126</v>
      </c>
      <c r="B8" s="8" t="n">
        <f aca="false">SUMIF(4_Besoins_Financiers!B:B,A8,4_Besoins_Financiers!H:H)</f>
        <v>210</v>
      </c>
      <c r="C8" s="12"/>
      <c r="D8" s="12"/>
    </row>
    <row r="9" customFormat="false" ht="15" hidden="false" customHeight="true" outlineLevel="0" collapsed="false">
      <c r="A9" s="6" t="s">
        <v>132</v>
      </c>
      <c r="B9" s="8" t="n">
        <f aca="false">SUMIF(4_Besoins_Financiers!B:B,A9,4_Besoins_Financiers!H:H)</f>
        <v>745</v>
      </c>
      <c r="C9" s="12"/>
      <c r="D9" s="12"/>
    </row>
    <row r="10" customFormat="false" ht="15" hidden="false" customHeight="true" outlineLevel="0" collapsed="false">
      <c r="A10" s="6" t="s">
        <v>138</v>
      </c>
      <c r="B10" s="8" t="n">
        <f aca="false">SUMIF(4_Besoins_Financiers!B:B,A10,4_Besoins_Financiers!H:H)</f>
        <v>1192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330</v>
      </c>
      <c r="C11" s="12"/>
      <c r="D11" s="12"/>
    </row>
    <row r="12" customFormat="false" ht="15" hidden="false" customHeight="true" outlineLevel="0" collapsed="false">
      <c r="A12" s="6" t="s">
        <v>148</v>
      </c>
      <c r="B12" s="8" t="n">
        <f aca="false">SUMIF(4_Besoins_Financiers!B:B,A12,4_Besoins_Financiers!H:H)</f>
        <v>550</v>
      </c>
      <c r="C12" s="12"/>
      <c r="D12" s="12"/>
    </row>
    <row r="13" customFormat="false" ht="15" hidden="false" customHeight="true" outlineLevel="0" collapsed="false">
      <c r="A13" s="22" t="s">
        <v>157</v>
      </c>
      <c r="B13" s="23" t="n">
        <f aca="false">SUM(B5:B12)</f>
        <v>9111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158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159</v>
      </c>
      <c r="C4" s="4" t="s">
        <v>160</v>
      </c>
      <c r="D4" s="4" t="s">
        <v>72</v>
      </c>
    </row>
    <row r="6" customFormat="false" ht="15" hidden="false" customHeight="true" outlineLevel="0" collapsed="false">
      <c r="A6" s="6" t="s">
        <v>161</v>
      </c>
      <c r="B6" s="8" t="n">
        <f aca="false">5_Synthese_Besoins!B13</f>
        <v>9111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1000</v>
      </c>
      <c r="C7" s="25" t="n">
        <f aca="false">B7/$B$6</f>
        <v>0.109757436066293</v>
      </c>
      <c r="D7" s="12" t="s">
        <v>162</v>
      </c>
    </row>
    <row r="8" customFormat="false" ht="15" hidden="false" customHeight="true" outlineLevel="0" collapsed="false">
      <c r="A8" s="6" t="s">
        <v>12</v>
      </c>
      <c r="B8" s="8" t="n">
        <f aca="false">B6-B7-B9</f>
        <v>8111</v>
      </c>
      <c r="C8" s="25" t="n">
        <f aca="false">B8/$B$6</f>
        <v>0.890242563933707</v>
      </c>
      <c r="D8" s="12" t="s">
        <v>163</v>
      </c>
    </row>
    <row r="9" customFormat="false" ht="15" hidden="false" customHeight="true" outlineLevel="0" collapsed="false">
      <c r="A9" s="6" t="s">
        <v>164</v>
      </c>
      <c r="B9" s="8" t="n">
        <v>0</v>
      </c>
      <c r="C9" s="25" t="n">
        <f aca="false">B9/$B$6</f>
        <v>0</v>
      </c>
      <c r="D9" s="12" t="s">
        <v>165</v>
      </c>
    </row>
    <row r="10" customFormat="false" ht="15" hidden="false" customHeight="true" outlineLevel="0" collapsed="false">
      <c r="A10" s="6" t="s">
        <v>166</v>
      </c>
      <c r="B10" s="8" t="n">
        <f aca="false">B6-B7-B8-B9</f>
        <v>0</v>
      </c>
      <c r="C10" s="25" t="n">
        <f aca="false">B10/$B$6</f>
        <v>0</v>
      </c>
      <c r="D10" s="12" t="s">
        <v>167</v>
      </c>
    </row>
    <row r="11" customFormat="false" ht="15" hidden="false" customHeight="true" outlineLevel="0" collapsed="false">
      <c r="A11" s="1" t="s">
        <v>168</v>
      </c>
      <c r="B11" s="8" t="n">
        <f aca="false">SUMIF(4_Besoins_Financiers!J:J,"*Crédit*",4_Besoins_Financiers!H:H)</f>
        <v>8991</v>
      </c>
      <c r="D11" s="1" t="s">
        <v>169</v>
      </c>
    </row>
    <row r="12" customFormat="false" ht="15" hidden="false" customHeight="true" outlineLevel="0" collapsed="false">
      <c r="A12" s="1" t="s">
        <v>170</v>
      </c>
      <c r="B12" s="8" t="n">
        <f aca="false">16_Tresorerie_Mensuelle!B21</f>
        <v>6916.83333333333</v>
      </c>
      <c r="D12" s="1" t="s">
        <v>171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172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173</v>
      </c>
      <c r="B4" s="4" t="s">
        <v>174</v>
      </c>
      <c r="C4" s="4" t="s">
        <v>175</v>
      </c>
      <c r="D4" s="4" t="s">
        <v>176</v>
      </c>
      <c r="E4" s="4" t="s">
        <v>159</v>
      </c>
      <c r="F4" s="4" t="s">
        <v>177</v>
      </c>
      <c r="G4" s="4" t="s">
        <v>178</v>
      </c>
      <c r="H4" s="4" t="s">
        <v>179</v>
      </c>
    </row>
    <row r="5" customFormat="false" ht="27.75" hidden="false" customHeight="true" outlineLevel="0" collapsed="false">
      <c r="A5" s="17" t="n">
        <v>1</v>
      </c>
      <c r="B5" s="17" t="s">
        <v>180</v>
      </c>
      <c r="C5" s="17" t="s">
        <v>181</v>
      </c>
      <c r="D5" s="17" t="s">
        <v>182</v>
      </c>
      <c r="E5" s="26" t="n">
        <f aca="false">SUMIF(4_Besoins_Financiers!I:I,"Préparation",4_Besoins_Financiers!H:H)</f>
        <v>2705</v>
      </c>
      <c r="F5" s="17" t="s">
        <v>183</v>
      </c>
      <c r="G5" s="17" t="s">
        <v>184</v>
      </c>
      <c r="H5" s="17" t="s">
        <v>185</v>
      </c>
    </row>
    <row r="6" customFormat="false" ht="15" hidden="false" customHeight="true" outlineLevel="0" collapsed="false">
      <c r="A6" s="17" t="n">
        <v>2</v>
      </c>
      <c r="B6" s="17" t="s">
        <v>186</v>
      </c>
      <c r="C6" s="17" t="s">
        <v>187</v>
      </c>
      <c r="D6" s="17" t="s">
        <v>188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3664</v>
      </c>
      <c r="F6" s="17" t="s">
        <v>189</v>
      </c>
      <c r="G6" s="17" t="s">
        <v>190</v>
      </c>
      <c r="H6" s="17" t="s">
        <v>185</v>
      </c>
    </row>
    <row r="7" customFormat="false" ht="15" hidden="false" customHeight="true" outlineLevel="0" collapsed="false">
      <c r="A7" s="17" t="n">
        <v>3</v>
      </c>
      <c r="B7" s="17" t="s">
        <v>191</v>
      </c>
      <c r="C7" s="17" t="s">
        <v>192</v>
      </c>
      <c r="D7" s="17" t="s">
        <v>193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2742</v>
      </c>
      <c r="F7" s="17" t="s">
        <v>189</v>
      </c>
      <c r="G7" s="17" t="s">
        <v>194</v>
      </c>
      <c r="H7" s="17" t="s">
        <v>185</v>
      </c>
    </row>
    <row r="8" customFormat="false" ht="15" hidden="false" customHeight="true" outlineLevel="0" collapsed="false">
      <c r="B8" s="4" t="s">
        <v>195</v>
      </c>
      <c r="E8" s="8" t="n">
        <f aca="false">SUM(E5:E7)</f>
        <v>9111</v>
      </c>
    </row>
    <row r="9" customFormat="false" ht="15" hidden="false" customHeight="true" outlineLevel="0" collapsed="false">
      <c r="B9" s="1" t="s">
        <v>196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198</v>
      </c>
      <c r="B2" s="7" t="n">
        <v>2</v>
      </c>
      <c r="C2" s="6" t="s">
        <v>199</v>
      </c>
      <c r="D2" s="27" t="n">
        <f aca="false">2_Identification_Projet!B8</f>
        <v>25</v>
      </c>
    </row>
    <row r="4" customFormat="false" ht="27.75" hidden="false" customHeight="true" outlineLevel="0" collapsed="false">
      <c r="A4" s="4" t="s">
        <v>200</v>
      </c>
      <c r="B4" s="4" t="s">
        <v>201</v>
      </c>
      <c r="C4" s="4" t="s">
        <v>69</v>
      </c>
      <c r="D4" s="4" t="s">
        <v>202</v>
      </c>
      <c r="E4" s="4" t="s">
        <v>203</v>
      </c>
      <c r="F4" s="4" t="s">
        <v>204</v>
      </c>
      <c r="G4" s="4" t="s">
        <v>205</v>
      </c>
      <c r="H4" s="4" t="s">
        <v>206</v>
      </c>
      <c r="I4" s="4" t="s">
        <v>207</v>
      </c>
      <c r="J4" s="4" t="s">
        <v>72</v>
      </c>
    </row>
    <row r="5" customFormat="false" ht="15" hidden="false" customHeight="true" outlineLevel="0" collapsed="false">
      <c r="A5" s="17" t="s">
        <v>53</v>
      </c>
      <c r="B5" s="27" t="n">
        <f aca="false">B2*D2</f>
        <v>50</v>
      </c>
      <c r="C5" s="17" t="s">
        <v>84</v>
      </c>
      <c r="D5" s="28" t="n">
        <v>0.1</v>
      </c>
      <c r="E5" s="16" t="n">
        <f aca="false">B5*(1-D5)</f>
        <v>45</v>
      </c>
      <c r="F5" s="29" t="n">
        <v>500</v>
      </c>
      <c r="G5" s="26" t="n">
        <f aca="false">E5*F5</f>
        <v>22500</v>
      </c>
      <c r="H5" s="15" t="n">
        <v>6</v>
      </c>
      <c r="I5" s="15" t="s">
        <v>208</v>
      </c>
      <c r="J5" s="17" t="s">
        <v>209</v>
      </c>
    </row>
    <row r="6" customFormat="false" ht="15" hidden="false" customHeight="true" outlineLevel="0" collapsed="false">
      <c r="A6" s="17" t="s">
        <v>210</v>
      </c>
      <c r="B6" s="15" t="n">
        <v>2</v>
      </c>
      <c r="C6" s="17" t="s">
        <v>84</v>
      </c>
      <c r="D6" s="28" t="n">
        <v>0.05</v>
      </c>
      <c r="E6" s="16" t="n">
        <f aca="false">B6*(1-D6)</f>
        <v>1.9</v>
      </c>
      <c r="F6" s="29" t="n">
        <v>120</v>
      </c>
      <c r="G6" s="26" t="n">
        <f aca="false">E6*F6</f>
        <v>228</v>
      </c>
      <c r="H6" s="15" t="n">
        <v>6</v>
      </c>
      <c r="I6" s="15" t="s">
        <v>211</v>
      </c>
      <c r="J6" s="17" t="s">
        <v>212</v>
      </c>
    </row>
    <row r="7" customFormat="false" ht="15" hidden="false" customHeight="true" outlineLevel="0" collapsed="false">
      <c r="A7" s="1" t="s">
        <v>213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214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215</v>
      </c>
      <c r="G9" s="23" t="n">
        <f aca="false">SUM(G5:G8)</f>
        <v>22728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216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159</v>
      </c>
      <c r="C4" s="4" t="s">
        <v>156</v>
      </c>
    </row>
    <row r="6" customFormat="false" ht="15" hidden="false" customHeight="true" outlineLevel="0" collapsed="false">
      <c r="A6" s="6" t="s">
        <v>217</v>
      </c>
      <c r="B6" s="8" t="n">
        <f aca="false">8_Previsions_Ventes!G9</f>
        <v>22728</v>
      </c>
      <c r="C6" s="12"/>
    </row>
    <row r="7" customFormat="false" ht="15" hidden="false" customHeight="true" outlineLevel="0" collapsed="false">
      <c r="A7" s="6" t="s">
        <v>218</v>
      </c>
      <c r="B7" s="8" t="n">
        <f aca="false">5_Synthese_Besoins!B13-5_Synthese_Besoins!B8-5_Synthese_Besoins!B12</f>
        <v>8351</v>
      </c>
      <c r="C7" s="12" t="s">
        <v>219</v>
      </c>
    </row>
    <row r="8" customFormat="false" ht="15" hidden="false" customHeight="true" outlineLevel="0" collapsed="false">
      <c r="A8" s="6" t="s">
        <v>220</v>
      </c>
      <c r="B8" s="8" t="n">
        <f aca="false">B6-B7</f>
        <v>14377</v>
      </c>
      <c r="C8" s="12"/>
    </row>
    <row r="9" customFormat="false" ht="15" hidden="false" customHeight="true" outlineLevel="0" collapsed="false">
      <c r="A9" s="6" t="s">
        <v>221</v>
      </c>
      <c r="B9" s="8" t="n">
        <f aca="false">10_Capacite_Remboursement!B9</f>
        <v>851.655</v>
      </c>
      <c r="C9" s="12"/>
    </row>
    <row r="10" customFormat="false" ht="15" hidden="false" customHeight="true" outlineLevel="0" collapsed="false">
      <c r="A10" s="6" t="s">
        <v>222</v>
      </c>
      <c r="B10" s="8" t="n">
        <f aca="false">B8-B9</f>
        <v>13525.345</v>
      </c>
      <c r="C10" s="12"/>
    </row>
    <row r="11" customFormat="false" ht="15" hidden="false" customHeight="true" outlineLevel="0" collapsed="false">
      <c r="A11" s="6" t="s">
        <v>223</v>
      </c>
      <c r="B11" s="24" t="n">
        <v>0</v>
      </c>
      <c r="C11" s="12" t="s">
        <v>212</v>
      </c>
    </row>
    <row r="12" customFormat="false" ht="15" hidden="false" customHeight="true" outlineLevel="0" collapsed="false">
      <c r="A12" s="6" t="s">
        <v>21</v>
      </c>
      <c r="B12" s="8" t="n">
        <f aca="false">B10-B11</f>
        <v>13525.345</v>
      </c>
      <c r="C12" s="12"/>
    </row>
    <row r="13" customFormat="false" ht="15" hidden="false" customHeight="true" outlineLevel="0" collapsed="false">
      <c r="A13" s="6" t="s">
        <v>224</v>
      </c>
      <c r="B13" s="25" t="n">
        <f aca="false">IFERROR(B12/B6,0)</f>
        <v>0.595096136923618</v>
      </c>
      <c r="C13" s="12"/>
    </row>
    <row r="15" customFormat="false" ht="15" hidden="false" customHeight="true" outlineLevel="0" collapsed="false">
      <c r="A15" s="1" t="s">
        <v>225</v>
      </c>
      <c r="B15" s="8" t="n">
        <f aca="false">5_Synthese_Besoins!B8</f>
        <v>210</v>
      </c>
      <c r="C15" s="1" t="s">
        <v>226</v>
      </c>
    </row>
    <row r="16" customFormat="false" ht="15" hidden="false" customHeight="true" outlineLevel="0" collapsed="false">
      <c r="A16" s="1" t="s">
        <v>227</v>
      </c>
      <c r="B16" s="8" t="n">
        <f aca="false">5_Synthese_Besoins!B12</f>
        <v>550</v>
      </c>
      <c r="C16" s="1" t="s">
        <v>228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229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230</v>
      </c>
      <c r="B4" s="4" t="s">
        <v>5</v>
      </c>
      <c r="C4" s="4" t="s">
        <v>156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8111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8</v>
      </c>
      <c r="C8" s="12"/>
    </row>
    <row r="9" customFormat="false" ht="15" hidden="false" customHeight="true" outlineLevel="0" collapsed="false">
      <c r="A9" s="6" t="s">
        <v>231</v>
      </c>
      <c r="B9" s="8" t="n">
        <f aca="false">11_Echeancier!D29</f>
        <v>851.655</v>
      </c>
      <c r="C9" s="12"/>
    </row>
    <row r="10" customFormat="false" ht="15" hidden="false" customHeight="true" outlineLevel="0" collapsed="false">
      <c r="A10" s="6" t="s">
        <v>232</v>
      </c>
      <c r="B10" s="8" t="n">
        <f aca="false">B6+B9</f>
        <v>8962.655</v>
      </c>
      <c r="C10" s="12"/>
    </row>
    <row r="11" customFormat="false" ht="15" hidden="false" customHeight="true" outlineLevel="0" collapsed="false">
      <c r="A11" s="6" t="s">
        <v>233</v>
      </c>
      <c r="B11" s="8" t="n">
        <f aca="false">9_Compte_Exploitation!B8</f>
        <v>14377</v>
      </c>
      <c r="C11" s="12"/>
    </row>
    <row r="12" customFormat="false" ht="15" hidden="false" customHeight="true" outlineLevel="0" collapsed="false">
      <c r="A12" s="6" t="s">
        <v>234</v>
      </c>
      <c r="B12" s="9" t="n">
        <f aca="false">IFERROR(B11/B10,0)</f>
        <v>1.60410057064564</v>
      </c>
      <c r="C12" s="12"/>
    </row>
    <row r="13" customFormat="false" ht="15" hidden="false" customHeight="true" outlineLevel="0" collapsed="false">
      <c r="A13" s="6" t="s">
        <v>235</v>
      </c>
      <c r="B13" s="25" t="n">
        <f aca="false">B11-B10</f>
        <v>5414.345</v>
      </c>
      <c r="C13" s="12"/>
    </row>
    <row r="14" customFormat="false" ht="15" hidden="false" customHeight="true" outlineLevel="0" collapsed="false">
      <c r="A14" s="6" t="s">
        <v>236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5</v>
      </c>
      <c r="C15" s="1" t="s">
        <v>237</v>
      </c>
    </row>
    <row r="17" customFormat="false" ht="15" hidden="false" customHeight="true" outlineLevel="0" collapsed="false">
      <c r="A17" s="1" t="s">
        <v>238</v>
      </c>
      <c r="B17" s="11" t="n">
        <v>0.02</v>
      </c>
    </row>
    <row r="18" customFormat="false" ht="15" hidden="false" customHeight="true" outlineLevel="0" collapsed="false">
      <c r="A18" s="1" t="s">
        <v>239</v>
      </c>
      <c r="B18" s="11" t="n">
        <v>0.01</v>
      </c>
    </row>
    <row r="19" customFormat="false" ht="15" hidden="false" customHeight="true" outlineLevel="0" collapsed="false">
      <c r="A19" s="1" t="s">
        <v>240</v>
      </c>
      <c r="B19" s="8" t="n">
        <f aca="false">B6*(B17+B18)</f>
        <v>243.33</v>
      </c>
    </row>
    <row r="20" customFormat="false" ht="15" hidden="false" customHeight="true" outlineLevel="0" collapsed="false">
      <c r="A20" s="1" t="s">
        <v>241</v>
      </c>
      <c r="B20" s="8" t="n">
        <f aca="false">B9+B19</f>
        <v>1094.985</v>
      </c>
    </row>
    <row r="21" customFormat="false" ht="15" hidden="false" customHeight="true" outlineLevel="0" collapsed="false">
      <c r="A21" s="1" t="s">
        <v>242</v>
      </c>
      <c r="B21" s="25" t="n">
        <f aca="false">IFERROR(B20/B6*12/B8,0)</f>
        <v>0.2025</v>
      </c>
      <c r="C21" s="1" t="s">
        <v>243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244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245</v>
      </c>
    </row>
    <row r="4" customFormat="false" ht="27.75" hidden="false" customHeight="true" outlineLevel="0" collapsed="false">
      <c r="A4" s="4" t="s">
        <v>246</v>
      </c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8111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8111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8111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8111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8111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2703.66666666667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729.99</v>
      </c>
      <c r="E10" s="8" t="n">
        <f aca="false">C10+D10</f>
        <v>3433.65666666667</v>
      </c>
      <c r="F10" s="8" t="n">
        <f aca="false">F9-C10</f>
        <v>5407.33333333333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2703.66666666667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81.11</v>
      </c>
      <c r="E11" s="8" t="n">
        <f aca="false">C11+D11</f>
        <v>2784.77666666667</v>
      </c>
      <c r="F11" s="8" t="n">
        <f aca="false">F10-C11</f>
        <v>2703.66666666667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2703.66666666667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40.555</v>
      </c>
      <c r="E12" s="8" t="n">
        <f aca="false">C12+D12</f>
        <v>2744.22166666667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254</v>
      </c>
      <c r="C29" s="8" t="n">
        <f aca="false">SUM(C5:C28)</f>
        <v>8111</v>
      </c>
      <c r="D29" s="8" t="n">
        <f aca="false">SUM(D5:D28)</f>
        <v>851.655</v>
      </c>
      <c r="E29" s="8" t="n">
        <f aca="false">SUM(E5:E28)</f>
        <v>8962.655</v>
      </c>
      <c r="G29" s="1" t="s">
        <v>255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256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257</v>
      </c>
      <c r="B4" s="4" t="s">
        <v>258</v>
      </c>
      <c r="C4" s="4" t="s">
        <v>259</v>
      </c>
      <c r="D4" s="4" t="s">
        <v>260</v>
      </c>
    </row>
    <row r="5" customFormat="false" ht="15" hidden="false" customHeight="true" outlineLevel="0" collapsed="false">
      <c r="A5" s="6" t="s">
        <v>261</v>
      </c>
      <c r="B5" s="35" t="n">
        <v>0.25</v>
      </c>
      <c r="C5" s="36" t="n">
        <f aca="false">(COUNTIF(18_Controles_Vraisemblance!H5:H10,"OK")+COUNTIF(18_Controles_Vraisemblance!H5:H10,"Justifié"))/6*100</f>
        <v>66.6666666666667</v>
      </c>
      <c r="D5" s="36" t="n">
        <f aca="false">B5*C5</f>
        <v>16.6666666666667</v>
      </c>
    </row>
    <row r="6" customFormat="false" ht="15" hidden="false" customHeight="true" outlineLevel="0" collapsed="false">
      <c r="A6" s="6" t="s">
        <v>262</v>
      </c>
      <c r="B6" s="35" t="n">
        <v>0.2</v>
      </c>
      <c r="C6" s="36" t="n">
        <f aca="false">MAX(0,MIN(100,(10_Capacite_Remboursement!B12-0.8)/0.8*100))</f>
        <v>100</v>
      </c>
      <c r="D6" s="36" t="n">
        <f aca="false">B6*C6</f>
        <v>20</v>
      </c>
    </row>
    <row r="7" customFormat="false" ht="15" hidden="false" customHeight="true" outlineLevel="0" collapsed="false">
      <c r="A7" s="6" t="s">
        <v>263</v>
      </c>
      <c r="B7" s="35" t="n">
        <v>0.1</v>
      </c>
      <c r="C7" s="36" t="n">
        <f aca="false">MAX(0,MIN(100,(17_Sensibilite_StressTest!B16-0.6)/0.6*100))</f>
        <v>16.5752038133046</v>
      </c>
      <c r="D7" s="36" t="n">
        <f aca="false">B7*C7</f>
        <v>1.65752038133046</v>
      </c>
    </row>
    <row r="8" customFormat="false" ht="15" hidden="false" customHeight="true" outlineLevel="0" collapsed="false">
      <c r="A8" s="6" t="s">
        <v>264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265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266</v>
      </c>
      <c r="B10" s="37" t="n">
        <f aca="false">SUM(B5:B9)</f>
        <v>1</v>
      </c>
      <c r="C10" s="12"/>
      <c r="D10" s="36" t="n">
        <f aca="false">SUM(D5:D9)</f>
        <v>68.3241870479971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267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268</v>
      </c>
      <c r="B12" s="37" t="n">
        <f aca="false">15_Garanties_Collateraux!B14</f>
        <v>2.2797485789646</v>
      </c>
      <c r="C12" s="1" t="s">
        <v>269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270</v>
      </c>
    </row>
    <row r="2" customFormat="false" ht="15" hidden="false" customHeight="true" outlineLevel="0" collapsed="false">
      <c r="A2" s="1" t="s">
        <v>271</v>
      </c>
    </row>
    <row r="4" customFormat="false" ht="27.75" hidden="false" customHeight="true" outlineLevel="0" collapsed="false">
      <c r="A4" s="4" t="s">
        <v>89</v>
      </c>
      <c r="B4" s="4" t="s">
        <v>272</v>
      </c>
      <c r="C4" s="4" t="s">
        <v>273</v>
      </c>
      <c r="D4" s="4" t="s">
        <v>274</v>
      </c>
      <c r="E4" s="4" t="s">
        <v>275</v>
      </c>
      <c r="F4" s="4" t="s">
        <v>276</v>
      </c>
      <c r="G4" s="4" t="s">
        <v>277</v>
      </c>
      <c r="H4" s="4" t="s">
        <v>278</v>
      </c>
      <c r="I4" s="4" t="s">
        <v>279</v>
      </c>
      <c r="J4" s="4" t="s">
        <v>280</v>
      </c>
    </row>
    <row r="5" customFormat="false" ht="15" hidden="false" customHeight="true" outlineLevel="0" collapsed="false">
      <c r="A5" s="1" t="n">
        <v>1</v>
      </c>
      <c r="B5" s="7" t="s">
        <v>281</v>
      </c>
      <c r="C5" s="7" t="s">
        <v>282</v>
      </c>
      <c r="D5" s="7" t="s">
        <v>14</v>
      </c>
      <c r="E5" s="39" t="n">
        <v>8000</v>
      </c>
      <c r="F5" s="35" t="n">
        <v>0.3</v>
      </c>
      <c r="G5" s="8" t="n">
        <f aca="false">E5*(1-F5)</f>
        <v>5600</v>
      </c>
      <c r="H5" s="7" t="s">
        <v>283</v>
      </c>
      <c r="I5" s="7" t="s">
        <v>284</v>
      </c>
      <c r="J5" s="7"/>
    </row>
    <row r="6" customFormat="false" ht="15" hidden="false" customHeight="true" outlineLevel="0" collapsed="false">
      <c r="A6" s="1" t="n">
        <v>2</v>
      </c>
      <c r="B6" s="7" t="s">
        <v>285</v>
      </c>
      <c r="C6" s="7" t="s">
        <v>286</v>
      </c>
      <c r="D6" s="7" t="s">
        <v>14</v>
      </c>
      <c r="E6" s="39" t="n">
        <v>5000</v>
      </c>
      <c r="F6" s="35" t="n">
        <v>0.4</v>
      </c>
      <c r="G6" s="8" t="n">
        <f aca="false">E6*(1-F6)</f>
        <v>3000</v>
      </c>
      <c r="H6" s="7" t="s">
        <v>287</v>
      </c>
      <c r="I6" s="7" t="s">
        <v>288</v>
      </c>
      <c r="J6" s="7"/>
    </row>
    <row r="7" customFormat="false" ht="15" hidden="false" customHeight="true" outlineLevel="0" collapsed="false">
      <c r="A7" s="1" t="n">
        <v>3</v>
      </c>
      <c r="B7" s="7" t="s">
        <v>289</v>
      </c>
      <c r="C7" s="7" t="s">
        <v>290</v>
      </c>
      <c r="D7" s="7" t="s">
        <v>291</v>
      </c>
      <c r="E7" s="39" t="n">
        <v>2000</v>
      </c>
      <c r="F7" s="35" t="n">
        <v>0.5</v>
      </c>
      <c r="G7" s="8" t="n">
        <f aca="false">E7*(1-F7)</f>
        <v>1000</v>
      </c>
      <c r="H7" s="7" t="s">
        <v>292</v>
      </c>
      <c r="I7" s="7" t="s">
        <v>293</v>
      </c>
      <c r="J7" s="7"/>
    </row>
    <row r="8" customFormat="false" ht="15" hidden="false" customHeight="true" outlineLevel="0" collapsed="false">
      <c r="A8" s="1" t="n">
        <v>4</v>
      </c>
      <c r="B8" s="7" t="s">
        <v>294</v>
      </c>
      <c r="C8" s="7" t="s">
        <v>295</v>
      </c>
      <c r="D8" s="7" t="s">
        <v>14</v>
      </c>
      <c r="E8" s="39" t="n">
        <v>210</v>
      </c>
      <c r="F8" s="35" t="n">
        <v>0.5</v>
      </c>
      <c r="G8" s="8" t="n">
        <f aca="false">E8*(1-F8)</f>
        <v>105</v>
      </c>
      <c r="H8" s="7" t="s">
        <v>296</v>
      </c>
      <c r="I8" s="7" t="s">
        <v>297</v>
      </c>
      <c r="J8" s="7"/>
    </row>
    <row r="9" customFormat="false" ht="15" hidden="false" customHeight="true" outlineLevel="0" collapsed="false">
      <c r="A9" s="1" t="n">
        <v>5</v>
      </c>
      <c r="B9" s="7" t="s">
        <v>298</v>
      </c>
      <c r="C9" s="7" t="s">
        <v>299</v>
      </c>
      <c r="D9" s="7" t="s">
        <v>14</v>
      </c>
      <c r="E9" s="39" t="n">
        <v>500</v>
      </c>
      <c r="F9" s="35" t="n">
        <v>0</v>
      </c>
      <c r="G9" s="8" t="n">
        <f aca="false">E9*(1-F9)</f>
        <v>500</v>
      </c>
      <c r="H9" s="7" t="s">
        <v>300</v>
      </c>
      <c r="I9" s="7" t="s">
        <v>301</v>
      </c>
      <c r="J9" s="7"/>
    </row>
    <row r="10" customFormat="false" ht="15" hidden="false" customHeight="true" outlineLevel="0" collapsed="false">
      <c r="A10" s="1" t="n">
        <v>6</v>
      </c>
      <c r="B10" s="7" t="s">
        <v>302</v>
      </c>
      <c r="C10" s="7" t="s">
        <v>303</v>
      </c>
      <c r="D10" s="7" t="s">
        <v>304</v>
      </c>
      <c r="E10" s="39" t="n">
        <f aca="false">8_Previsions_Ventes!G9*0.5</f>
        <v>11364</v>
      </c>
      <c r="F10" s="35" t="n">
        <v>0.1</v>
      </c>
      <c r="G10" s="8" t="n">
        <f aca="false">E10*(1-F10)</f>
        <v>10227.6</v>
      </c>
      <c r="H10" s="7" t="s">
        <v>305</v>
      </c>
      <c r="I10" s="7" t="s">
        <v>306</v>
      </c>
      <c r="J10" s="7"/>
    </row>
    <row r="11" customFormat="false" ht="15" hidden="false" customHeight="true" outlineLevel="0" collapsed="false">
      <c r="B11" s="4" t="s">
        <v>254</v>
      </c>
      <c r="E11" s="8" t="n">
        <f aca="false">SUM(E5:E10)</f>
        <v>27074</v>
      </c>
      <c r="G11" s="8" t="n">
        <f aca="false">SUM(G5:G10)</f>
        <v>20432.6</v>
      </c>
    </row>
    <row r="13" customFormat="false" ht="15" hidden="false" customHeight="true" outlineLevel="0" collapsed="false">
      <c r="A13" s="6" t="s">
        <v>232</v>
      </c>
      <c r="B13" s="8" t="n">
        <f aca="false">10_Capacite_Remboursement!B10</f>
        <v>8962.655</v>
      </c>
    </row>
    <row r="14" customFormat="false" ht="15" hidden="false" customHeight="true" outlineLevel="0" collapsed="false">
      <c r="A14" s="6" t="s">
        <v>307</v>
      </c>
      <c r="B14" s="37" t="n">
        <f aca="false">IFERROR(G11/B13,0)</f>
        <v>2.2797485789646</v>
      </c>
    </row>
    <row r="15" customFormat="false" ht="15" hidden="false" customHeight="true" outlineLevel="0" collapsed="false">
      <c r="A15" s="6" t="s">
        <v>308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309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310</v>
      </c>
    </row>
    <row r="2" customFormat="false" ht="15" hidden="false" customHeight="true" outlineLevel="0" collapsed="false">
      <c r="A2" s="1" t="s">
        <v>311</v>
      </c>
    </row>
    <row r="4" customFormat="false" ht="27.75" hidden="false" customHeight="true" outlineLevel="0" collapsed="false">
      <c r="A4" s="4" t="s">
        <v>176</v>
      </c>
      <c r="B4" s="4" t="s">
        <v>312</v>
      </c>
      <c r="C4" s="4" t="s">
        <v>313</v>
      </c>
      <c r="D4" s="4" t="s">
        <v>314</v>
      </c>
      <c r="E4" s="4" t="s">
        <v>315</v>
      </c>
    </row>
    <row r="5" customFormat="false" ht="15" hidden="false" customHeight="true" outlineLevel="0" collapsed="false">
      <c r="A5" s="1" t="s">
        <v>73</v>
      </c>
      <c r="B5" s="8" t="n">
        <f aca="false">SUMIF(4_Besoins_Financiers!I:I,A5,4_Besoins_Financiers!H:H)</f>
        <v>2705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2705</v>
      </c>
    </row>
    <row r="6" customFormat="false" ht="15" hidden="false" customHeight="true" outlineLevel="0" collapsed="false">
      <c r="A6" s="1" t="s">
        <v>75</v>
      </c>
      <c r="B6" s="8" t="n">
        <f aca="false">SUMIF(4_Besoins_Financiers!I:I,A6,4_Besoins_Financiers!H:H)</f>
        <v>334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167</v>
      </c>
    </row>
    <row r="7" customFormat="false" ht="15" hidden="false" customHeight="true" outlineLevel="0" collapsed="false">
      <c r="A7" s="1" t="s">
        <v>77</v>
      </c>
      <c r="B7" s="8" t="n">
        <f aca="false">SUMIF(4_Besoins_Financiers!I:I,A7,4_Besoins_Financiers!H:H)</f>
        <v>1600</v>
      </c>
      <c r="C7" s="1" t="n">
        <f aca="false">3_Parametres_Techniques!B7</f>
        <v>2</v>
      </c>
      <c r="D7" s="1" t="n">
        <f aca="false">3_Parametres_Techniques!C7</f>
        <v>4</v>
      </c>
      <c r="E7" s="8" t="n">
        <f aca="false">IF(D7&gt;=C7,B7/(D7-C7+1),0)</f>
        <v>533.333333333333</v>
      </c>
    </row>
    <row r="8" customFormat="false" ht="15" hidden="false" customHeight="true" outlineLevel="0" collapsed="false">
      <c r="A8" s="1" t="s">
        <v>108</v>
      </c>
      <c r="B8" s="8" t="n">
        <f aca="false">SUMIF(4_Besoins_Financiers!I:I,A8,4_Besoins_Financiers!H:H)</f>
        <v>820</v>
      </c>
      <c r="C8" s="1" t="n">
        <f aca="false">3_Parametres_Techniques!B7</f>
        <v>2</v>
      </c>
      <c r="D8" s="1" t="n">
        <f aca="false">3_Parametres_Techniques!C7</f>
        <v>4</v>
      </c>
      <c r="E8" s="8" t="n">
        <f aca="false">IF(D8&gt;=C8,B8/(D8-C8+1),0)</f>
        <v>273.333333333333</v>
      </c>
    </row>
    <row r="9" customFormat="false" ht="15" hidden="false" customHeight="true" outlineLevel="0" collapsed="false">
      <c r="A9" s="1" t="s">
        <v>79</v>
      </c>
      <c r="B9" s="8" t="n">
        <f aca="false">SUMIF(4_Besoins_Financiers!I:I,A9,4_Besoins_Financiers!H:H)</f>
        <v>1427</v>
      </c>
      <c r="C9" s="1" t="n">
        <f aca="false">3_Parametres_Techniques!B8</f>
        <v>5</v>
      </c>
      <c r="D9" s="1" t="n">
        <f aca="false">3_Parametres_Techniques!C8</f>
        <v>5</v>
      </c>
      <c r="E9" s="8" t="n">
        <f aca="false">IF(D9&gt;=C9,B9/(D9-C9+1),0)</f>
        <v>1427</v>
      </c>
    </row>
    <row r="10" customFormat="false" ht="15" hidden="false" customHeight="true" outlineLevel="0" collapsed="false">
      <c r="A10" s="1" t="s">
        <v>134</v>
      </c>
      <c r="B10" s="8" t="n">
        <f aca="false">SUMIF(4_Besoins_Financiers!I:I,A10,4_Besoins_Financiers!H:H)</f>
        <v>545</v>
      </c>
      <c r="C10" s="1" t="n">
        <f aca="false">3_Parametres_Techniques!B9</f>
        <v>5</v>
      </c>
      <c r="D10" s="1" t="n">
        <f aca="false">3_Parametres_Techniques!C9</f>
        <v>6</v>
      </c>
      <c r="E10" s="8" t="n">
        <f aca="false">IF(D10&gt;=C10,B10/(D10-C10+1),0)</f>
        <v>272.5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770</v>
      </c>
      <c r="C11" s="1" t="n">
        <f aca="false">3_Parametres_Techniques!B10</f>
        <v>6</v>
      </c>
      <c r="D11" s="1" t="n">
        <f aca="false">3_Parametres_Techniques!C10</f>
        <v>6</v>
      </c>
      <c r="E11" s="8" t="n">
        <f aca="false">IF(D11&gt;=C11,B11/(D11-C11+1),0)</f>
        <v>770</v>
      </c>
    </row>
    <row r="12" customFormat="false" ht="15" hidden="false" customHeight="true" outlineLevel="0" collapsed="false">
      <c r="A12" s="1" t="s">
        <v>125</v>
      </c>
      <c r="B12" s="8" t="n">
        <f aca="false">SUMIF(4_Besoins_Financiers!I:I,A12,4_Besoins_Financiers!H:H)</f>
        <v>910</v>
      </c>
      <c r="C12" s="1" t="n">
        <f aca="false">1</f>
        <v>1</v>
      </c>
      <c r="D12" s="1" t="n">
        <f aca="false">1_Accueil_Parametres!B15</f>
        <v>6</v>
      </c>
      <c r="E12" s="8" t="n">
        <f aca="false">IF(D12&gt;=C12,B12/(D12-C12+1),0)</f>
        <v>151.666666666667</v>
      </c>
    </row>
    <row r="14" customFormat="false" ht="15" hidden="false" customHeight="true" outlineLevel="0" collapsed="false">
      <c r="A14" s="4" t="s">
        <v>316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317</v>
      </c>
      <c r="B15" s="8" t="n">
        <f aca="false">SUMPRODUCT(($C$5:$C$12&lt;=B$14)*($D$5:$D$12&gt;=B$14)*$E$5:$E$12)</f>
        <v>3023.66666666667</v>
      </c>
      <c r="C15" s="8" t="n">
        <f aca="false">SUMPRODUCT(($C$5:$C$12&lt;=C$14)*($D$5:$D$12&gt;=C$14)*$E$5:$E$12)</f>
        <v>1125.33333333333</v>
      </c>
      <c r="D15" s="8" t="n">
        <f aca="false">SUMPRODUCT(($C$5:$C$12&lt;=D$14)*($D$5:$D$12&gt;=D$14)*$E$5:$E$12)</f>
        <v>958.333333333333</v>
      </c>
      <c r="E15" s="8" t="n">
        <f aca="false">SUMPRODUCT(($C$5:$C$12&lt;=E$14)*($D$5:$D$12&gt;=E$14)*$E$5:$E$12)</f>
        <v>958.333333333333</v>
      </c>
      <c r="F15" s="8" t="n">
        <f aca="false">SUMPRODUCT(($C$5:$C$12&lt;=F$14)*($D$5:$D$12&gt;=F$14)*$E$5:$E$12)</f>
        <v>1851.16666666667</v>
      </c>
      <c r="G15" s="8" t="n">
        <f aca="false">SUMPRODUCT(($C$5:$C$12&lt;=G$14)*($D$5:$D$12&gt;=G$14)*$E$5:$E$12)</f>
        <v>1194.16666666667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318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22728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319</v>
      </c>
      <c r="B17" s="8" t="n">
        <f aca="false">IF(B$14=1,6_Plan_Financement!$B$7,0)</f>
        <v>1000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320</v>
      </c>
      <c r="B18" s="8" t="n">
        <f aca="false">B16+B17-B15</f>
        <v>-2023.66666666667</v>
      </c>
      <c r="C18" s="8" t="n">
        <f aca="false">C16+C17-C15</f>
        <v>-1125.33333333333</v>
      </c>
      <c r="D18" s="8" t="n">
        <f aca="false">D16+D17-D15</f>
        <v>-958.333333333333</v>
      </c>
      <c r="E18" s="8" t="n">
        <f aca="false">E16+E17-E15</f>
        <v>-958.333333333333</v>
      </c>
      <c r="F18" s="8" t="n">
        <f aca="false">F16+F17-F15</f>
        <v>-1851.16666666667</v>
      </c>
      <c r="G18" s="8" t="n">
        <f aca="false">G16+G17-G15</f>
        <v>21533.8333333333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321</v>
      </c>
      <c r="B19" s="8" t="n">
        <f aca="false">B18</f>
        <v>-2023.66666666667</v>
      </c>
      <c r="C19" s="8" t="n">
        <f aca="false">B19+C18</f>
        <v>-3149</v>
      </c>
      <c r="D19" s="8" t="n">
        <f aca="false">C19+D18</f>
        <v>-4107.33333333333</v>
      </c>
      <c r="E19" s="8" t="n">
        <f aca="false">D19+E18</f>
        <v>-5065.66666666667</v>
      </c>
      <c r="F19" s="8" t="n">
        <f aca="false">E19+F18</f>
        <v>-6916.83333333333</v>
      </c>
      <c r="G19" s="8" t="n">
        <f aca="false">F19+G18</f>
        <v>14617</v>
      </c>
      <c r="H19" s="8" t="n">
        <f aca="false">G19+H18</f>
        <v>14617</v>
      </c>
      <c r="I19" s="8" t="n">
        <f aca="false">H19+I18</f>
        <v>14617</v>
      </c>
      <c r="J19" s="8" t="n">
        <f aca="false">I19+J18</f>
        <v>14617</v>
      </c>
      <c r="K19" s="8" t="n">
        <f aca="false">J19+K18</f>
        <v>14617</v>
      </c>
      <c r="L19" s="8" t="n">
        <f aca="false">K19+L18</f>
        <v>14617</v>
      </c>
      <c r="M19" s="8" t="n">
        <f aca="false">L19+M18</f>
        <v>14617</v>
      </c>
      <c r="N19" s="8" t="n">
        <f aca="false">M19+N18</f>
        <v>14617</v>
      </c>
      <c r="O19" s="8" t="n">
        <f aca="false">N19+O18</f>
        <v>14617</v>
      </c>
      <c r="P19" s="8" t="n">
        <f aca="false">O19+P18</f>
        <v>14617</v>
      </c>
      <c r="Q19" s="8" t="n">
        <f aca="false">P19+Q18</f>
        <v>14617</v>
      </c>
      <c r="R19" s="8" t="n">
        <f aca="false">Q19+R18</f>
        <v>14617</v>
      </c>
      <c r="S19" s="8" t="n">
        <f aca="false">R19+S18</f>
        <v>14617</v>
      </c>
    </row>
    <row r="21" customFormat="false" ht="15" hidden="false" customHeight="true" outlineLevel="0" collapsed="false">
      <c r="A21" s="6" t="s">
        <v>322</v>
      </c>
      <c r="B21" s="8" t="n">
        <f aca="false">MAX(0,-MIN(B19:S19))</f>
        <v>6916.83333333333</v>
      </c>
    </row>
    <row r="22" customFormat="false" ht="15" hidden="false" customHeight="true" outlineLevel="0" collapsed="false">
      <c r="A22" s="1" t="s">
        <v>323</v>
      </c>
      <c r="B22" s="8" t="n">
        <f aca="false">6_Plan_Financement!B8</f>
        <v>8111</v>
      </c>
    </row>
    <row r="23" customFormat="false" ht="15" hidden="false" customHeight="true" outlineLevel="0" collapsed="false">
      <c r="A23" s="1" t="s">
        <v>324</v>
      </c>
      <c r="B23" s="8" t="n">
        <f aca="false">MAX(0,B22-B21)</f>
        <v>1194.16666666667</v>
      </c>
    </row>
    <row r="24" customFormat="false" ht="15" hidden="false" customHeight="true" outlineLevel="0" collapsed="false">
      <c r="A24" s="1" t="s">
        <v>325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326</v>
      </c>
    </row>
    <row r="2" customFormat="false" ht="15" hidden="false" customHeight="true" outlineLevel="0" collapsed="false">
      <c r="A2" s="1" t="s">
        <v>327</v>
      </c>
    </row>
    <row r="4" customFormat="false" ht="15" hidden="false" customHeight="true" outlineLevel="0" collapsed="false">
      <c r="A4" s="4" t="s">
        <v>328</v>
      </c>
      <c r="B4" s="4" t="s">
        <v>329</v>
      </c>
    </row>
    <row r="5" customFormat="false" ht="15" hidden="false" customHeight="true" outlineLevel="0" collapsed="false">
      <c r="A5" s="1" t="s">
        <v>330</v>
      </c>
      <c r="B5" s="35" t="n">
        <v>0.2</v>
      </c>
    </row>
    <row r="6" customFormat="false" ht="15" hidden="false" customHeight="true" outlineLevel="0" collapsed="false">
      <c r="A6" s="1" t="s">
        <v>331</v>
      </c>
      <c r="B6" s="35" t="n">
        <v>0.15</v>
      </c>
    </row>
    <row r="7" customFormat="false" ht="15" hidden="false" customHeight="true" outlineLevel="0" collapsed="false">
      <c r="A7" s="1" t="s">
        <v>332</v>
      </c>
      <c r="B7" s="35" t="n">
        <v>0.1</v>
      </c>
    </row>
    <row r="9" customFormat="false" ht="27.75" hidden="false" customHeight="true" outlineLevel="0" collapsed="false">
      <c r="A9" s="4" t="s">
        <v>333</v>
      </c>
      <c r="B9" s="4" t="s">
        <v>334</v>
      </c>
      <c r="C9" s="4" t="s">
        <v>335</v>
      </c>
      <c r="D9" s="4" t="s">
        <v>336</v>
      </c>
      <c r="E9" s="4" t="s">
        <v>337</v>
      </c>
      <c r="F9" s="4" t="s">
        <v>338</v>
      </c>
      <c r="G9" s="4" t="s">
        <v>339</v>
      </c>
    </row>
    <row r="10" customFormat="false" ht="15" hidden="false" customHeight="true" outlineLevel="0" collapsed="false">
      <c r="A10" s="1" t="s">
        <v>340</v>
      </c>
      <c r="B10" s="8" t="n">
        <f aca="false">8_Previsions_Ventes!G9</f>
        <v>22728</v>
      </c>
      <c r="C10" s="8" t="n">
        <f aca="false">9_Compte_Exploitation!B7</f>
        <v>8351</v>
      </c>
      <c r="D10" s="8" t="n">
        <f aca="false">B10-C10</f>
        <v>14377</v>
      </c>
      <c r="E10" s="8" t="n">
        <f aca="false">10_Capacite_Remboursement!B10</f>
        <v>8962.655</v>
      </c>
      <c r="F10" s="40" t="n">
        <f aca="false">IFERROR(D10/E10,0)</f>
        <v>1.60410057064564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341</v>
      </c>
      <c r="B11" s="8" t="n">
        <f aca="false">8_Previsions_Ventes!G9*(1-$B$5)</f>
        <v>18182.4</v>
      </c>
      <c r="C11" s="8" t="n">
        <f aca="false">$C$10</f>
        <v>8351</v>
      </c>
      <c r="D11" s="8" t="n">
        <f aca="false">B11-C11</f>
        <v>9831.4</v>
      </c>
      <c r="E11" s="8" t="n">
        <f aca="false">10_Capacite_Remboursement!B10</f>
        <v>8962.655</v>
      </c>
      <c r="F11" s="40" t="n">
        <f aca="false">IFERROR(D11/E11,0)</f>
        <v>1.09692942548832</v>
      </c>
      <c r="G11" s="1" t="str">
        <f aca="false">IF(F11&gt;=1.2,"OK",IF(F11&gt;=1,"Limite","Fragile"))</f>
        <v>Limite</v>
      </c>
    </row>
    <row r="12" customFormat="false" ht="15" hidden="false" customHeight="true" outlineLevel="0" collapsed="false">
      <c r="A12" s="1" t="s">
        <v>342</v>
      </c>
      <c r="B12" s="8" t="n">
        <f aca="false">8_Previsions_Ventes!G9*(1-$B$6)</f>
        <v>19318.8</v>
      </c>
      <c r="C12" s="8" t="n">
        <f aca="false">$C$10</f>
        <v>8351</v>
      </c>
      <c r="D12" s="8" t="n">
        <f aca="false">B12-C12</f>
        <v>10967.8</v>
      </c>
      <c r="E12" s="8" t="n">
        <f aca="false">10_Capacite_Remboursement!B10</f>
        <v>8962.655</v>
      </c>
      <c r="F12" s="40" t="n">
        <f aca="false">IFERROR(D12/E12,0)</f>
        <v>1.22372221177765</v>
      </c>
      <c r="G12" s="1" t="str">
        <f aca="false">IF(F12&gt;=1.2,"OK",IF(F12&gt;=1,"Limite","Fragile"))</f>
        <v>OK</v>
      </c>
    </row>
    <row r="13" customFormat="false" ht="15" hidden="false" customHeight="true" outlineLevel="0" collapsed="false">
      <c r="A13" s="1" t="s">
        <v>343</v>
      </c>
      <c r="B13" s="8" t="n">
        <f aca="false">$B$10</f>
        <v>22728</v>
      </c>
      <c r="C13" s="8" t="n">
        <f aca="false">9_Compte_Exploitation!B7*(1+$B$7)</f>
        <v>9186.1</v>
      </c>
      <c r="D13" s="8" t="n">
        <f aca="false">B13-C13</f>
        <v>13541.9</v>
      </c>
      <c r="E13" s="8" t="n">
        <f aca="false">10_Capacite_Remboursement!B10</f>
        <v>8962.655</v>
      </c>
      <c r="F13" s="40" t="n">
        <f aca="false">IFERROR(D13/E13,0)</f>
        <v>1.51092505513154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344</v>
      </c>
      <c r="B14" s="8" t="n">
        <f aca="false">8_Previsions_Ventes!G9*(1-$B$5)*(1-$B$6)</f>
        <v>15455.04</v>
      </c>
      <c r="C14" s="8" t="n">
        <f aca="false">9_Compte_Exploitation!B7*(1+$B$7)</f>
        <v>9186.1</v>
      </c>
      <c r="D14" s="8" t="n">
        <f aca="false">B14-C14</f>
        <v>6268.94</v>
      </c>
      <c r="E14" s="8" t="n">
        <f aca="false">10_Capacite_Remboursement!B10</f>
        <v>8962.655</v>
      </c>
      <c r="F14" s="40" t="n">
        <f aca="false">IFERROR(D14/E14,0)</f>
        <v>0.699451222879827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345</v>
      </c>
      <c r="B16" s="9" t="n">
        <f aca="false">MIN(F11:F14)</f>
        <v>0.699451222879827</v>
      </c>
    </row>
    <row r="17" customFormat="false" ht="15" hidden="false" customHeight="true" outlineLevel="0" collapsed="false">
      <c r="A17" s="6" t="s">
        <v>346</v>
      </c>
      <c r="B17" s="8" t="n">
        <f aca="false">D14/1_Accueil_Parametres!B22</f>
        <v>5224.11666666667</v>
      </c>
    </row>
    <row r="18" customFormat="false" ht="15" hidden="false" customHeight="true" outlineLevel="0" collapsed="false">
      <c r="A18" s="6" t="s">
        <v>347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348</v>
      </c>
      <c r="B20" s="9" t="n">
        <f aca="false">(10_Capacite_Remboursement!B10+9_Compte_Exploitation!B7-(8_Previsions_Ventes!G9-8_Previsions_Ventes!G5))/(8_Previsions_Ventes!D2*(1-8_Previsions_Ventes!D5)*8_Previsions_Ventes!F5)</f>
        <v>1.51872488888889</v>
      </c>
      <c r="C20" s="1" t="s">
        <v>349</v>
      </c>
    </row>
    <row r="21" customFormat="false" ht="15" hidden="false" customHeight="true" outlineLevel="0" collapsed="false">
      <c r="A21" s="6" t="s">
        <v>350</v>
      </c>
      <c r="B21" s="8" t="n">
        <f aca="false">(10_Capacite_Remboursement!B10+9_Compte_Exploitation!B7-(8_Previsions_Ventes!G9-8_Previsions_Ventes!G5))/8_Previsions_Ventes!E5</f>
        <v>379.681222222222</v>
      </c>
      <c r="C21" s="1" t="s">
        <v>351</v>
      </c>
    </row>
    <row r="22" customFormat="false" ht="15" hidden="false" customHeight="true" outlineLevel="0" collapsed="false">
      <c r="A22" s="6" t="s">
        <v>352</v>
      </c>
      <c r="B22" s="37" t="n">
        <f aca="false">1-B20/8_Previsions_Ventes!B2</f>
        <v>0.240637555555556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353</v>
      </c>
    </row>
    <row r="2" customFormat="false" ht="15" hidden="false" customHeight="true" outlineLevel="0" collapsed="false">
      <c r="A2" s="1" t="s">
        <v>354</v>
      </c>
    </row>
    <row r="4" customFormat="false" ht="27.75" hidden="false" customHeight="true" outlineLevel="0" collapsed="false">
      <c r="A4" s="4" t="s">
        <v>230</v>
      </c>
      <c r="B4" s="4" t="s">
        <v>355</v>
      </c>
      <c r="C4" s="4" t="s">
        <v>356</v>
      </c>
      <c r="D4" s="4" t="s">
        <v>357</v>
      </c>
      <c r="E4" s="4" t="s">
        <v>358</v>
      </c>
      <c r="F4" s="4" t="s">
        <v>156</v>
      </c>
      <c r="G4" s="4" t="s">
        <v>359</v>
      </c>
      <c r="H4" s="4" t="s">
        <v>360</v>
      </c>
    </row>
    <row r="5" customFormat="false" ht="15" hidden="false" customHeight="true" outlineLevel="0" collapsed="false">
      <c r="A5" s="1" t="s">
        <v>361</v>
      </c>
      <c r="B5" s="8" t="n">
        <f aca="false">9_Compte_Exploitation!B7/8_Previsions_Ventes!D2</f>
        <v>334.04</v>
      </c>
      <c r="C5" s="7" t="n">
        <v>300</v>
      </c>
      <c r="D5" s="7" t="n">
        <v>700</v>
      </c>
      <c r="E5" s="1" t="str">
        <f aca="false">IF(B5&lt;C5,"À vérifier — coûts sous-estimés (risque de crédit insuffisant)",IF(B5&gt;D5,"À vérifier — coûts élevés","OK"))</f>
        <v>OK</v>
      </c>
      <c r="F5" s="1" t="s">
        <v>362</v>
      </c>
      <c r="G5" s="7" t="s">
        <v>363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198</v>
      </c>
      <c r="B6" s="9" t="n">
        <f aca="false">8_Previsions_Ventes!B2</f>
        <v>2</v>
      </c>
      <c r="C6" s="7" t="n">
        <v>0.8</v>
      </c>
      <c r="D6" s="7" t="n">
        <v>2.5</v>
      </c>
      <c r="E6" s="1" t="str">
        <f aca="false">IF(B6&gt;D6,"À vérifier — hypothèse optimiste",IF(B6&lt;C6,"Faible — rentabilité à démontrer","OK"))</f>
        <v>OK</v>
      </c>
      <c r="F6" s="1" t="s">
        <v>364</v>
      </c>
      <c r="G6" s="7" t="s">
        <v>363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365</v>
      </c>
      <c r="B7" s="9" t="n">
        <f aca="false">4_Besoins_Financiers!E5/8_Previsions_Ventes!D2</f>
        <v>2</v>
      </c>
      <c r="C7" s="7" t="n">
        <v>20</v>
      </c>
      <c r="D7" s="7" t="n">
        <v>25</v>
      </c>
      <c r="E7" s="1" t="str">
        <f aca="false">IF(B7&lt;C7,"À vérifier — sous-dosage déclaré",IF(B7&gt;D7,"À vérifier — sur-dosage","OK"))</f>
        <v>À vérifier — sous-dosage déclaré</v>
      </c>
      <c r="F7" s="1" t="s">
        <v>366</v>
      </c>
      <c r="G7" s="7" t="s">
        <v>363</v>
      </c>
      <c r="H7" s="27" t="str">
        <f aca="false">IF(E7="OK","OK",IF(G7="Oui","Justifié","À instruire"))</f>
        <v>À instruire</v>
      </c>
    </row>
    <row r="8" customFormat="false" ht="15" hidden="false" customHeight="true" outlineLevel="0" collapsed="false">
      <c r="A8" s="1" t="s">
        <v>367</v>
      </c>
      <c r="B8" s="8" t="n">
        <f aca="false">8_Previsions_Ventes!F5</f>
        <v>500</v>
      </c>
      <c r="C8" s="7" t="n">
        <v>300</v>
      </c>
      <c r="D8" s="7" t="n">
        <v>600</v>
      </c>
      <c r="E8" s="1" t="str">
        <f aca="false">IF(B8&gt;D8,"À vérifier — prix optimiste",IF(B8&lt;C8,"Prudent","OK"))</f>
        <v>OK</v>
      </c>
      <c r="F8" s="1" t="s">
        <v>368</v>
      </c>
      <c r="G8" s="7" t="s">
        <v>363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369</v>
      </c>
      <c r="B9" s="37" t="n">
        <f aca="false">8_Previsions_Ventes!D5</f>
        <v>0.1</v>
      </c>
      <c r="C9" s="35" t="n">
        <v>0.05</v>
      </c>
      <c r="D9" s="35" t="n">
        <v>0.15</v>
      </c>
      <c r="E9" s="1" t="str">
        <f aca="false">IF(B9&lt;C9,"À vérifier — pertes sous-estimées",IF(B9&gt;D9,"Élevé — post-récolte à sécuriser","OK"))</f>
        <v>OK</v>
      </c>
      <c r="G9" s="7" t="s">
        <v>363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370</v>
      </c>
      <c r="B10" s="7" t="s">
        <v>371</v>
      </c>
      <c r="E10" s="1" t="str">
        <f aca="false">IF(B10="Oui","OK","À vérifier — semis hors fenêtre = risque majeur")</f>
        <v>À vérifier — semis hors fenêtre = risque majeur</v>
      </c>
      <c r="G10" s="7" t="s">
        <v>363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372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2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373</v>
      </c>
    </row>
    <row r="2" customFormat="false" ht="15" hidden="false" customHeight="true" outlineLevel="0" collapsed="false">
      <c r="A2" s="1" t="s">
        <v>374</v>
      </c>
    </row>
    <row r="4" customFormat="false" ht="27.75" hidden="false" customHeight="true" outlineLevel="0" collapsed="false">
      <c r="A4" s="4" t="s">
        <v>89</v>
      </c>
      <c r="B4" s="4" t="s">
        <v>375</v>
      </c>
      <c r="C4" s="4" t="s">
        <v>376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  <c r="I4" s="4" t="s">
        <v>253</v>
      </c>
      <c r="J4" s="4" t="s">
        <v>382</v>
      </c>
    </row>
    <row r="5" customFormat="false" ht="15" hidden="false" customHeight="true" outlineLevel="0" collapsed="false">
      <c r="A5" s="1" t="n">
        <v>1</v>
      </c>
      <c r="B5" s="1" t="s">
        <v>383</v>
      </c>
      <c r="C5" s="1" t="s">
        <v>384</v>
      </c>
      <c r="D5" s="1" t="s">
        <v>385</v>
      </c>
      <c r="E5" s="1" t="s">
        <v>386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387</v>
      </c>
      <c r="C6" s="1" t="s">
        <v>388</v>
      </c>
      <c r="D6" s="1" t="s">
        <v>389</v>
      </c>
      <c r="E6" s="1" t="s">
        <v>390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391</v>
      </c>
      <c r="C7" s="1" t="s">
        <v>392</v>
      </c>
      <c r="D7" s="1" t="s">
        <v>393</v>
      </c>
      <c r="E7" s="1" t="s">
        <v>394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395</v>
      </c>
      <c r="C8" s="1" t="s">
        <v>396</v>
      </c>
      <c r="D8" s="1" t="s">
        <v>397</v>
      </c>
      <c r="E8" s="1" t="s">
        <v>398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399</v>
      </c>
      <c r="C9" s="1" t="s">
        <v>400</v>
      </c>
      <c r="D9" s="1" t="s">
        <v>401</v>
      </c>
      <c r="E9" s="1" t="s">
        <v>402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403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404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9111</v>
      </c>
      <c r="D4" s="3" t="s">
        <v>405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8111</v>
      </c>
      <c r="D5" s="41" t="s">
        <v>406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1000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22728</v>
      </c>
      <c r="D7" s="12" t="s">
        <v>407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13525.345</v>
      </c>
      <c r="D8" s="12" t="s">
        <v>408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1.60410057064564</v>
      </c>
    </row>
    <row r="10" customFormat="false" ht="15" hidden="false" customHeight="true" outlineLevel="0" collapsed="false">
      <c r="A10" s="6" t="s">
        <v>409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410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411</v>
      </c>
      <c r="B12" s="37" t="n">
        <f aca="false">15_Garanties_Collateraux!B14</f>
        <v>2.2797485789646</v>
      </c>
      <c r="D12" s="1" t="s">
        <v>412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413</v>
      </c>
      <c r="B13" s="8" t="n">
        <f aca="false">16_Tresorerie_Mensuelle!B21</f>
        <v>6916.83333333333</v>
      </c>
    </row>
    <row r="14" customFormat="false" ht="15" hidden="false" customHeight="true" outlineLevel="0" collapsed="false">
      <c r="A14" s="1" t="s">
        <v>414</v>
      </c>
      <c r="B14" s="9" t="n">
        <f aca="false">17_Sensibilite_StressTest!B16</f>
        <v>0.699451222879827</v>
      </c>
      <c r="D14" s="1" t="s">
        <v>415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416</v>
      </c>
      <c r="B15" s="36" t="n">
        <f aca="false">12_Analyse_Credit!D10</f>
        <v>68.3241870479971</v>
      </c>
      <c r="D15" s="1" t="s">
        <v>417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418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419</v>
      </c>
      <c r="B4" s="4" t="s">
        <v>420</v>
      </c>
      <c r="C4" s="4" t="s">
        <v>5</v>
      </c>
      <c r="D4" s="4" t="s">
        <v>69</v>
      </c>
      <c r="E4" s="4" t="s">
        <v>156</v>
      </c>
    </row>
    <row r="5" customFormat="false" ht="15" hidden="false" customHeight="true" outlineLevel="0" collapsed="false">
      <c r="A5" s="12" t="s">
        <v>421</v>
      </c>
      <c r="B5" s="12" t="s">
        <v>53</v>
      </c>
      <c r="C5" s="42" t="n">
        <v>500</v>
      </c>
      <c r="D5" s="12" t="s">
        <v>85</v>
      </c>
      <c r="E5" s="12" t="s">
        <v>422</v>
      </c>
    </row>
    <row r="6" customFormat="false" ht="15" hidden="false" customHeight="true" outlineLevel="0" collapsed="false">
      <c r="A6" s="12" t="s">
        <v>202</v>
      </c>
      <c r="B6" s="12" t="s">
        <v>423</v>
      </c>
      <c r="C6" s="43" t="n">
        <v>0.1</v>
      </c>
      <c r="D6" s="12" t="s">
        <v>424</v>
      </c>
      <c r="E6" s="12" t="s">
        <v>425</v>
      </c>
    </row>
    <row r="7" customFormat="false" ht="15" hidden="false" customHeight="true" outlineLevel="0" collapsed="false">
      <c r="A7" s="12" t="s">
        <v>426</v>
      </c>
      <c r="B7" s="12" t="s">
        <v>68</v>
      </c>
      <c r="C7" s="44" t="n">
        <v>2</v>
      </c>
      <c r="D7" s="12" t="s">
        <v>427</v>
      </c>
      <c r="E7" s="12" t="s">
        <v>428</v>
      </c>
    </row>
    <row r="8" customFormat="false" ht="15" hidden="false" customHeight="true" outlineLevel="0" collapsed="false">
      <c r="A8" s="12" t="s">
        <v>429</v>
      </c>
      <c r="B8" s="12" t="s">
        <v>430</v>
      </c>
      <c r="C8" s="43" t="n">
        <v>0.18</v>
      </c>
      <c r="D8" s="12" t="s">
        <v>431</v>
      </c>
      <c r="E8" s="12" t="s">
        <v>432</v>
      </c>
    </row>
    <row r="9" customFormat="false" ht="15" hidden="false" customHeight="true" outlineLevel="0" collapsed="false">
      <c r="A9" s="12" t="s">
        <v>433</v>
      </c>
      <c r="B9" s="12" t="s">
        <v>434</v>
      </c>
      <c r="C9" s="12"/>
      <c r="D9" s="12"/>
      <c r="E9" s="12" t="s">
        <v>435</v>
      </c>
    </row>
    <row r="10" customFormat="false" ht="15" hidden="false" customHeight="true" outlineLevel="0" collapsed="false">
      <c r="A10" s="1" t="s">
        <v>401</v>
      </c>
      <c r="B10" s="1" t="s">
        <v>436</v>
      </c>
      <c r="C10" s="1" t="n">
        <f aca="false">1_Accueil_Parametres!B20</f>
        <v>5</v>
      </c>
      <c r="D10" s="1" t="s">
        <v>124</v>
      </c>
      <c r="E10" s="1" t="s">
        <v>437</v>
      </c>
    </row>
    <row r="11" customFormat="false" ht="15" hidden="false" customHeight="true" outlineLevel="0" collapsed="false">
      <c r="A11" s="1" t="s">
        <v>438</v>
      </c>
      <c r="B11" s="1" t="s">
        <v>439</v>
      </c>
      <c r="C11" s="1" t="s">
        <v>440</v>
      </c>
      <c r="D11" s="1" t="s">
        <v>441</v>
      </c>
      <c r="E11" s="1" t="s">
        <v>442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